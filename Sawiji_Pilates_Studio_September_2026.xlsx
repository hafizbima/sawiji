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atan Konversi" sheetId="1" state="visible" r:id="rId3"/>
    <sheet name="Jadwal Kelas" sheetId="2" state="visible" r:id="rId4"/>
    <sheet name="Log Transaksi" sheetId="3" state="visible" r:id="rId5"/>
    <sheet name="Panduan Transaksi" sheetId="4" state="visible" r:id="rId6"/>
    <sheet name="Alokasi Shad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<sst xmlns="http://schemas.openxmlformats.org/spreadsheetml/2006/main" count="1846" uniqueCount="418">
  <si>
    <t xml:space="preserve">Catatan Konversi PDF ke Excel</t>
  </si>
  <si>
    <t xml:space="preserve">Topik</t>
  </si>
  <si>
    <t xml:space="preserve">Catatan</t>
  </si>
  <si>
    <t xml:space="preserve">Sumber</t>
  </si>
  <si>
    <t xml:space="preserve">File PDF 'DATA_SAWIJI_BULAN_SEPTEMBER' (dibuat dari Google Sheets, 6 halaman), diubah ke Excel ini.</t>
  </si>
  <si>
    <t xml:space="preserve">Isu tanggal Minggu 3</t>
  </si>
  <si>
    <t xml:space="preserve">Tabel 'WEEK III SEP' pada PDF asli menunjukkan tanggal yang SAMA dengan 'WEEK II SEP' (Selasa 08 - Minggu 13 Sep 2026), dan seluruh isinya kosong (semua Basic, Kuota 6, Hold 0, Booking 0, Tersedia, tanpa coach/peserta) — kemungkinan ini template mingguan yang belum diisi &amp; lupa diganti tanggalnya. Sheet 'Jadwal Kelas' mereproduksi persis apa yang ada di PDF; silakan cek ke Google Sheets sumber untuk tanggal &amp; isi yang benar.</t>
  </si>
  <si>
    <t xml:space="preserve">ID Transaksi &amp; Tanggal kosong</t>
  </si>
  <si>
    <t xml:space="preserve">Pada Log Transaksi sumber, kolom 'ID Transaksi' kosong di semua baris meskipun ditandai WAJIB. Kolom 'Tanggal' juga sering kosong untuk baris lanjutan (kemungkinan mengikuti tanggal baris di atasnya / diisi tanggal input massal 26/09/2026 sekali di awal grup). Nilai dibiarkan apa adanya (tidak ditebak) — silakan lengkapi manual.</t>
  </si>
  <si>
    <t xml:space="preserve">Perbaikan No. HP kosong</t>
  </si>
  <si>
    <t xml:space="preserve">Pada beberapa baris (customer tanpa nomor HP sendiri, biasanya 'TEMAN &lt;nama&gt;'), teks 'Hari &amp; Tgl Kelas' sempat bergeser ke kolom No. HP akibat ekstraksi PDF. Sudah dikoreksi kembali ke kolom yang benar berdasarkan pola yang konsisten.</t>
  </si>
  <si>
    <t xml:space="preserve">2 sel 'Dibayarkan Oleh' diperbaiki</t>
  </si>
  <si>
    <t xml:space="preserve">Baris NILA AMELIA -&gt; 'PAYMENT UTAMI MARGGANING', dan baris TEMAN RISKA (YOVA A) -&gt; 'PAYMENT RISKA YULIANA'. Nilai asli sempat rusak (karakter tumpang tindih) akibat teks yang membungkus 2 baris dalam satu sel PDF; nilai final dicocokkan ke teks mentah sumber.</t>
  </si>
  <si>
    <t xml:space="preserve">Kolom Sisa &amp; Status</t>
  </si>
  <si>
    <t xml:space="preserve">Dibuat sebagai FORMULA (Sisa = Kuota-Hold-Booking; Status = IF berdasarkan Sisa mengikuti aturan legenda: FULL jika 0, Hampir Penuh jika &lt;=2, Tersedia jika lebih) — bukan nilai tetap, supaya otomatis update kalau Hold/Booking diedit. Status 'Waitlist' (ungu) di legenda asli tidak muncul pada data bulan ini, jadi tidak ada baris yang memakainya; kalau perlu, override manual di kolom Status.</t>
  </si>
  <si>
    <t xml:space="preserve">Total Sisa Slot (validasi, dari footer sumber)</t>
  </si>
  <si>
    <t xml:space="preserve">Minggu 1: 40,25,39,33,33,47 | Minggu 2: 44,46,53,37,41,59 | Minggu 3: 60,60,60,60,60,60 (per hari Selasa-Minggu). Bisa dipakai untuk mengecek SUM(Sisa) per hari di sheet Jadwal Kelas cocok dengan angka ini.</t>
  </si>
  <si>
    <t xml:space="preserve">Sesi Jumat 11 Sept jam 19.00 (Minggu 2)</t>
  </si>
  <si>
    <t xml:space="preserve">Status FULL (booking 6) tapi tidak ada nama peserta yang tercatat di sumber PDF — kemungkinan data nama terpotong saat export. Perlu dicek ke sumber asli.</t>
  </si>
  <si>
    <t xml:space="preserve">Alokasi Shade</t>
  </si>
  <si>
    <t xml:space="preserve">Tabel ini fungsinya belum jelas (kemungkinan giveaway/deposit mat) — ditandai 'perlu klarifikasi' di sheet-nya dan di dokumen requirements web app.</t>
  </si>
  <si>
    <t xml:space="preserve">Kualitas ekstraksi</t>
  </si>
  <si>
    <t xml:space="preserve">Beberapa sel teks panjang pada PDF sumber (terutama daftar nama peserta) rusak saat diekstrak otomatis karena bungkus baris di dalam sel. Semua nama peserta pada sheet 'Jadwal Kelas' sudah ditranskripsi ulang manual dari teks mentah PDF untuk memastikan akurat.</t>
  </si>
  <si>
    <t xml:space="preserve">SAWIJI PILATES STUDIO — Jadwal &amp; Reservasi Kelas (September 2026)</t>
  </si>
  <si>
    <t xml:space="preserve">Warna Status: Hijau = Tersedia | Orange = Hampir Penuh (sisa &lt;=2) | Merah = FULL | Ungu = Waitlist</t>
  </si>
  <si>
    <t xml:space="preserve">Minggu</t>
  </si>
  <si>
    <t xml:space="preserve">Tanggal</t>
  </si>
  <si>
    <t xml:space="preserve">Sesi</t>
  </si>
  <si>
    <t xml:space="preserve">Jam</t>
  </si>
  <si>
    <t xml:space="preserve">Coach</t>
  </si>
  <si>
    <t xml:space="preserve">Nama Kelas</t>
  </si>
  <si>
    <t xml:space="preserve">Kuota</t>
  </si>
  <si>
    <t xml:space="preserve">Hold</t>
  </si>
  <si>
    <t xml:space="preserve">Booking</t>
  </si>
  <si>
    <t xml:space="preserve">Sisa</t>
  </si>
  <si>
    <t xml:space="preserve">Status</t>
  </si>
  <si>
    <t xml:space="preserve">Nama Peserta</t>
  </si>
  <si>
    <t xml:space="preserve">Waitlist</t>
  </si>
  <si>
    <t xml:space="preserve">Minggu 1</t>
  </si>
  <si>
    <t xml:space="preserve">Selasa, 01 Sep 2026</t>
  </si>
  <si>
    <t xml:space="preserve">Sesi 1</t>
  </si>
  <si>
    <t xml:space="preserve">07.30</t>
  </si>
  <si>
    <t xml:space="preserve">Gitta</t>
  </si>
  <si>
    <t xml:space="preserve">Basic</t>
  </si>
  <si>
    <t xml:space="preserve">Dewi Nagagini, Rabina, Wulan Septika,</t>
  </si>
  <si>
    <t xml:space="preserve">Sesi 2</t>
  </si>
  <si>
    <t xml:space="preserve">08.40</t>
  </si>
  <si>
    <t xml:space="preserve">Diana Novita, Devi DP dan Emma, Chamelia, Nailal Muna</t>
  </si>
  <si>
    <t xml:space="preserve">Sesi 3</t>
  </si>
  <si>
    <t xml:space="preserve">09.50</t>
  </si>
  <si>
    <t xml:space="preserve">Merliana Wiwik, Btari Cassandra, Aprilia Puspa Dan Imelda, Andin, Fernanda Nia</t>
  </si>
  <si>
    <t xml:space="preserve">Sesi 4</t>
  </si>
  <si>
    <t xml:space="preserve">11.00</t>
  </si>
  <si>
    <t xml:space="preserve">Riska Yulina + Yova Arinda + Angela Diana, Marsiko, Putri Nuzulia dan Septi Devi</t>
  </si>
  <si>
    <t xml:space="preserve">Sesi 5</t>
  </si>
  <si>
    <t xml:space="preserve">15.00</t>
  </si>
  <si>
    <t xml:space="preserve">Sesi 6</t>
  </si>
  <si>
    <t xml:space="preserve">16.30</t>
  </si>
  <si>
    <t xml:space="preserve">Sesi 7</t>
  </si>
  <si>
    <t xml:space="preserve">17.40</t>
  </si>
  <si>
    <t xml:space="preserve">Sesi 8</t>
  </si>
  <si>
    <t xml:space="preserve">19.00</t>
  </si>
  <si>
    <t xml:space="preserve">Sesi 9</t>
  </si>
  <si>
    <t xml:space="preserve">Sesi 10</t>
  </si>
  <si>
    <t xml:space="preserve">Rabu, 02 Sep 2026</t>
  </si>
  <si>
    <t xml:space="preserve">08.30</t>
  </si>
  <si>
    <t xml:space="preserve">Tifa</t>
  </si>
  <si>
    <t xml:space="preserve">Naniek Rahayu, Norholila, Inneke Margareth + Yesica + Marsha + Lini,</t>
  </si>
  <si>
    <t xml:space="preserve">09.40</t>
  </si>
  <si>
    <t xml:space="preserve">Jessica Budi, Btari Cassandra, Sinda M Dan Putri, salma Aulia dan teman</t>
  </si>
  <si>
    <t xml:space="preserve">10.50</t>
  </si>
  <si>
    <t xml:space="preserve">Desi Setyaka, Ria Annisa, Betty Erny dan Ayu, Naomi Ditya</t>
  </si>
  <si>
    <t xml:space="preserve">Regina Oktavia, Stefanie Pramudita, Rhealin, Novia Eka, Fenny, Lana Alfiyana</t>
  </si>
  <si>
    <t xml:space="preserve">Flou</t>
  </si>
  <si>
    <t xml:space="preserve">Ike Mercia, Irene, Candra I, Niswatur, Aurora, Bita</t>
  </si>
  <si>
    <t xml:space="preserve">Natalia Kristiyanti, Sisilia Y, Trixie, Givio, Dita nurlita, Betty</t>
  </si>
  <si>
    <t xml:space="preserve">Kamis, 03 Sep 2026</t>
  </si>
  <si>
    <t xml:space="preserve">Olivia, Dewi Nagagini, Ayustia Fani, Wulan Septika, Fenny,</t>
  </si>
  <si>
    <t xml:space="preserve">Merliana Wiwik, Unik + Chelsea + Dian, Selly Zainaba</t>
  </si>
  <si>
    <t xml:space="preserve">Tyas Soehono, Shafa Dan Abigail, Rieke Amalia,</t>
  </si>
  <si>
    <t xml:space="preserve">Sefia Diah, Lulu Sya + Novy Oktaviana + Rivnina + Aprillia Muna , Zada</t>
  </si>
  <si>
    <t xml:space="preserve">Jumat, 04 Sep 2026</t>
  </si>
  <si>
    <t xml:space="preserve">Naniek Rahayu, Reny Kusumariani, Fenny</t>
  </si>
  <si>
    <t xml:space="preserve">Special Class</t>
  </si>
  <si>
    <t xml:space="preserve">Diana Novita, Amalina dan Nurul Milla, Lisa Meylinda, Intan S, Yani</t>
  </si>
  <si>
    <t xml:space="preserve">Tatik, Hwenny, Fauziah Galuh, Ajeng Dan Feby Cahyani, Jessica Budi</t>
  </si>
  <si>
    <t xml:space="preserve">Niswatur, Chamelia, Cathleya Farnsisca + Yohana + Inge + Lynna</t>
  </si>
  <si>
    <t xml:space="preserve">Natalia Kristiyanti, Sisilia Y, Givio, Mela Khoirun, Betty, Lianny 2,</t>
  </si>
  <si>
    <t xml:space="preserve">Sabtu, 05 Sep 2026</t>
  </si>
  <si>
    <t xml:space="preserve">Olivia, Wiwin Dewi, Aurora, Novita Christy dan teman, Fiya</t>
  </si>
  <si>
    <t xml:space="preserve">Dian Cahyaningtyas dan Tika, Astrid Junia, Fitriyanti, Berliana Anugraeni, Fina Fakhriyah</t>
  </si>
  <si>
    <t xml:space="preserve">Elsa Talina, Fina Salsabila Dan Nur Amanah, Ade Susanti, Devi Christianti 1, Tata</t>
  </si>
  <si>
    <t xml:space="preserve">Lalavera</t>
  </si>
  <si>
    <t xml:space="preserve">Trixie, Candra I, Norholila, Vira Infadila</t>
  </si>
  <si>
    <t xml:space="preserve">Nimatulmaula</t>
  </si>
  <si>
    <t xml:space="preserve">Utami Marganing dan Nila Amelia</t>
  </si>
  <si>
    <t xml:space="preserve">Yaffa Azalia, Siti Arfi'ah</t>
  </si>
  <si>
    <t xml:space="preserve">Minggu, 06 Sep 2026</t>
  </si>
  <si>
    <t xml:space="preserve">Elyana Ika (catatan cidera), Emma Eka</t>
  </si>
  <si>
    <t xml:space="preserve">Jumpboard</t>
  </si>
  <si>
    <t xml:space="preserve">Ike Mercia, Irene, Noviana lutfi, Aulia Yasmine, Tiara P,</t>
  </si>
  <si>
    <t xml:space="preserve">Ika Puji, Novia Eka, Damayanti Fitrian dan Fauzul Adzimah, Novita, Sholihah Annisa</t>
  </si>
  <si>
    <t xml:space="preserve">Minggu 2</t>
  </si>
  <si>
    <t xml:space="preserve">Selasa, 08 Sep 2026</t>
  </si>
  <si>
    <t xml:space="preserve">Rabina + wulan + dewi, Ayustia fani</t>
  </si>
  <si>
    <t xml:space="preserve">Chamelia, Diana Novita, Tita pradevi, Devi DP dan Emma</t>
  </si>
  <si>
    <t xml:space="preserve">Btari Cassandra, Shyane + Melly + Cein + Ani Fenny</t>
  </si>
  <si>
    <t xml:space="preserve">Givio,</t>
  </si>
  <si>
    <t xml:space="preserve">Putri saraswati</t>
  </si>
  <si>
    <t xml:space="preserve">Rabu, 09 Sep 2026</t>
  </si>
  <si>
    <t xml:space="preserve">Naniek Rahayu,</t>
  </si>
  <si>
    <t xml:space="preserve">Btari Cassandra, Jessica Budi,</t>
  </si>
  <si>
    <t xml:space="preserve">Stefanie Pramudita, Regina Oktavia,</t>
  </si>
  <si>
    <t xml:space="preserve">Candra I, Fitriyanti, Elsa Talina</t>
  </si>
  <si>
    <t xml:space="preserve">Givio, Trixie, Sisilia Y, Betty, Natalia Kristiyanti, Wiwin Dewi,</t>
  </si>
  <si>
    <t xml:space="preserve">Kamis, 10 Sep 2026</t>
  </si>
  <si>
    <t xml:space="preserve">Olivia,</t>
  </si>
  <si>
    <t xml:space="preserve">Aprilia Puspa + Imelda Pricillia + Dian Hayuningtiyas, Lia Dan teman</t>
  </si>
  <si>
    <t xml:space="preserve">Sisilia Y,</t>
  </si>
  <si>
    <t xml:space="preserve">Jumat, 11 Sep 2026</t>
  </si>
  <si>
    <t xml:space="preserve">Naniek Rahayu, savira,</t>
  </si>
  <si>
    <t xml:space="preserve">Betty</t>
  </si>
  <si>
    <t xml:space="preserve">Sabtu, 12 Sep 2026</t>
  </si>
  <si>
    <t xml:space="preserve">Olivia, Natalia Kristiyanti, Novita Christy dan teman</t>
  </si>
  <si>
    <t xml:space="preserve">Candra I,</t>
  </si>
  <si>
    <t xml:space="preserve">Utami Marganing dan teman</t>
  </si>
  <si>
    <t xml:space="preserve">Minggu, 13 Sep 2026</t>
  </si>
  <si>
    <t xml:space="preserve">Trixie,</t>
  </si>
  <si>
    <t xml:space="preserve">Minggu 3 (cek tanggal - lihat Catatan Konversi)</t>
  </si>
  <si>
    <t xml:space="preserve">SAWIJI PILATES STUDIO — Log Transaksi (Ledger)</t>
  </si>
  <si>
    <t xml:space="preserve">ATURAN: 1 baris = 1 kejadian. Jangan edit atau hapus baris lama — setiap perubahan = tambah baris baru. Lihat sheet 'Panduan Transaksi' untuk arti tiap jenis transaksi &amp; field wajib/opsional.</t>
  </si>
  <si>
    <t xml:space="preserve">ID Transaksi</t>
  </si>
  <si>
    <t xml:space="preserve">Jenis Transaksi</t>
  </si>
  <si>
    <t xml:space="preserve">Nama Customer</t>
  </si>
  <si>
    <t xml:space="preserve">No. HP</t>
  </si>
  <si>
    <t xml:space="preserve">Hari &amp; Tgl Kelas</t>
  </si>
  <si>
    <t xml:space="preserve">Jam Kelas</t>
  </si>
  <si>
    <t xml:space="preserve">Instructor</t>
  </si>
  <si>
    <t xml:space="preserve">Jml Sesi</t>
  </si>
  <si>
    <t xml:space="preserve">Nominal (Rp)</t>
  </si>
  <si>
    <t xml:space="preserve">Metode Bayar</t>
  </si>
  <si>
    <t xml:space="preserve">Status Bayar</t>
  </si>
  <si>
    <t xml:space="preserve">Dibayarkan Oleh</t>
  </si>
  <si>
    <t xml:space="preserve">Ref ID Transaksi</t>
  </si>
  <si>
    <t xml:space="preserve">Dari Jadwal</t>
  </si>
  <si>
    <t xml:space="preserve">Ke Jadwal</t>
  </si>
  <si>
    <t xml:space="preserve">Alasan</t>
  </si>
  <si>
    <t xml:space="preserve">Admin</t>
  </si>
  <si>
    <t xml:space="preserve">26/09/2026</t>
  </si>
  <si>
    <t xml:space="preserve">Payment</t>
  </si>
  <si>
    <t xml:space="preserve">DIAN CAHYANINGTYAS</t>
  </si>
  <si>
    <t xml:space="preserve">62 811-2667-774</t>
  </si>
  <si>
    <t xml:space="preserve">SABTU 5 &amp; 12 SEPT</t>
  </si>
  <si>
    <t xml:space="preserve">8.40</t>
  </si>
  <si>
    <t xml:space="preserve">2</t>
  </si>
  <si>
    <t xml:space="preserve">TIKA</t>
  </si>
  <si>
    <t xml:space="preserve">816668570</t>
  </si>
  <si>
    <t xml:space="preserve">FAUZIAH GALUH</t>
  </si>
  <si>
    <t xml:space="preserve">62 856-4380-9832</t>
  </si>
  <si>
    <t xml:space="preserve">JUMAT 4 &amp; 11 SEPT</t>
  </si>
  <si>
    <t xml:space="preserve">9.50</t>
  </si>
  <si>
    <t xml:space="preserve">YANI</t>
  </si>
  <si>
    <t xml:space="preserve">62 857-4200-7912</t>
  </si>
  <si>
    <t xml:space="preserve">ASTRID JUNIA</t>
  </si>
  <si>
    <t xml:space="preserve">62 896-0836-8080</t>
  </si>
  <si>
    <t xml:space="preserve">ELSA TALINA</t>
  </si>
  <si>
    <t xml:space="preserve">62 815-2249-851</t>
  </si>
  <si>
    <t xml:space="preserve">BERLIANA ANUGRAENI</t>
  </si>
  <si>
    <t xml:space="preserve">62 812-2953-4046</t>
  </si>
  <si>
    <t xml:space="preserve">NOVITA CHRISTY</t>
  </si>
  <si>
    <t xml:space="preserve">62 858-7814-3868</t>
  </si>
  <si>
    <t xml:space="preserve">SABTU 5 SEPTEMBER</t>
  </si>
  <si>
    <t xml:space="preserve">7.30</t>
  </si>
  <si>
    <t xml:space="preserve">1</t>
  </si>
  <si>
    <t xml:space="preserve">TEMAN NOVITA CHRIST</t>
  </si>
  <si>
    <t xml:space="preserve">PAYMENT NOVITA</t>
  </si>
  <si>
    <t xml:space="preserve">AMALINA</t>
  </si>
  <si>
    <t xml:space="preserve">62 813-2919-8055</t>
  </si>
  <si>
    <t xml:space="preserve">JUMAT 4&amp;11 SEPT</t>
  </si>
  <si>
    <t xml:space="preserve">NURUL MILLAH</t>
  </si>
  <si>
    <t xml:space="preserve">PAYMENT AMALINA</t>
  </si>
  <si>
    <t xml:space="preserve">FINA FAKHRIYAH</t>
  </si>
  <si>
    <t xml:space="preserve">INTAN S</t>
  </si>
  <si>
    <t xml:space="preserve">62 858-7639-9555</t>
  </si>
  <si>
    <t xml:space="preserve">TATIK</t>
  </si>
  <si>
    <t xml:space="preserve">62 812-2822-2353</t>
  </si>
  <si>
    <t xml:space="preserve">RABINA CM</t>
  </si>
  <si>
    <t xml:space="preserve">62 813-9230-0909</t>
  </si>
  <si>
    <t xml:space="preserve">KAMIS 3 SEPTEMBER</t>
  </si>
  <si>
    <t xml:space="preserve">BITA</t>
  </si>
  <si>
    <t xml:space="preserve">SELASA 1 SEPTEMBER</t>
  </si>
  <si>
    <t xml:space="preserve">SEFIA DIAH</t>
  </si>
  <si>
    <t xml:space="preserve">62 858-0290-7259</t>
  </si>
  <si>
    <t xml:space="preserve">UTAMI MARGGANING</t>
  </si>
  <si>
    <t xml:space="preserve">62 813-2804-6497</t>
  </si>
  <si>
    <t xml:space="preserve">QRIS</t>
  </si>
  <si>
    <t xml:space="preserve">NILA AMELIA</t>
  </si>
  <si>
    <t xml:space="preserve">895353277747</t>
  </si>
  <si>
    <t xml:space="preserve">Lunas</t>
  </si>
  <si>
    <t xml:space="preserve">PAYMENT UTAMI MARGGANING</t>
  </si>
  <si>
    <t xml:space="preserve">AYUSTIA FANI</t>
  </si>
  <si>
    <t xml:space="preserve">ADE SUSANTI</t>
  </si>
  <si>
    <t xml:space="preserve">62 821-3760-7897</t>
  </si>
  <si>
    <t xml:space="preserve">SABTU 5&amp;12 SEPT</t>
  </si>
  <si>
    <t xml:space="preserve">NOVIANA LUTFI</t>
  </si>
  <si>
    <t xml:space="preserve">62 852-2754-1794</t>
  </si>
  <si>
    <t xml:space="preserve">MINGGU, 6 SEPTEMBER</t>
  </si>
  <si>
    <t xml:space="preserve">Vira Infadila</t>
  </si>
  <si>
    <t xml:space="preserve">62 857-0093-8147</t>
  </si>
  <si>
    <t xml:space="preserve">SABTU, 5 SEPTEMBER</t>
  </si>
  <si>
    <t xml:space="preserve">RISKA YULIANA</t>
  </si>
  <si>
    <t xml:space="preserve">62 823-4220-2096</t>
  </si>
  <si>
    <t xml:space="preserve">SELASA, 1 SEPTEMBER</t>
  </si>
  <si>
    <t xml:space="preserve">TEMAN RISKA (YOVA A)</t>
  </si>
  <si>
    <t xml:space="preserve">PAYMENT RISKA YULIANA</t>
  </si>
  <si>
    <t xml:space="preserve">andin</t>
  </si>
  <si>
    <t xml:space="preserve">62 823-2801-8657</t>
  </si>
  <si>
    <t xml:space="preserve">Fernanda Nia</t>
  </si>
  <si>
    <t xml:space="preserve">62 857-2440-6030</t>
  </si>
  <si>
    <t xml:space="preserve">RABU, 2 SEPTEMBER</t>
  </si>
  <si>
    <t xml:space="preserve">9.40</t>
  </si>
  <si>
    <t xml:space="preserve">mela khoirunnisa</t>
  </si>
  <si>
    <t xml:space="preserve">82230436224</t>
  </si>
  <si>
    <t xml:space="preserve">JUMAT, 4 SEPTEMBER</t>
  </si>
  <si>
    <t xml:space="preserve">NABIILA ZADA SIAMTA</t>
  </si>
  <si>
    <t xml:space="preserve">82323370536</t>
  </si>
  <si>
    <t xml:space="preserve">SITI ARFI'AH BIDAYATI</t>
  </si>
  <si>
    <t xml:space="preserve">85718136998</t>
  </si>
  <si>
    <t xml:space="preserve">RENI KUSUMARIYANI</t>
  </si>
  <si>
    <t xml:space="preserve">82225522818</t>
  </si>
  <si>
    <t xml:space="preserve">17.30</t>
  </si>
  <si>
    <t xml:space="preserve">AULIA YASMINE (jumpboat)</t>
  </si>
  <si>
    <t xml:space="preserve">62 852-9312-2142</t>
  </si>
  <si>
    <t xml:space="preserve">ELYANA IKA</t>
  </si>
  <si>
    <t xml:space="preserve">62 895-0203-0634</t>
  </si>
  <si>
    <t xml:space="preserve">NAILAL MUNA</t>
  </si>
  <si>
    <t xml:space="preserve">62 812-3013-7917</t>
  </si>
  <si>
    <t xml:space="preserve">TIARA P (JUMPBOAT)</t>
  </si>
  <si>
    <t xml:space="preserve">62 822-2501-9399</t>
  </si>
  <si>
    <t xml:space="preserve">PUTRI NUZULIA</t>
  </si>
  <si>
    <t xml:space="preserve">62 823-2511-5676</t>
  </si>
  <si>
    <t xml:space="preserve">TEMEN PUTRI (DEVI)</t>
  </si>
  <si>
    <t xml:space="preserve">62 822-2666-9130</t>
  </si>
  <si>
    <t xml:space="preserve">MARSIKO</t>
  </si>
  <si>
    <t xml:space="preserve">62 812-2760-0988</t>
  </si>
  <si>
    <t xml:space="preserve">TYAS SOEHONO</t>
  </si>
  <si>
    <t xml:space="preserve">62 812-3353-1350</t>
  </si>
  <si>
    <t xml:space="preserve">KAMIS, 3 SEPTEMBER</t>
  </si>
  <si>
    <t xml:space="preserve">DITA NURLITA</t>
  </si>
  <si>
    <t xml:space="preserve">62 816-690-490</t>
  </si>
  <si>
    <t xml:space="preserve">NOVIA EKA SARI</t>
  </si>
  <si>
    <t xml:space="preserve">62 821-3337-1711</t>
  </si>
  <si>
    <t xml:space="preserve">RABU,2 SEPTEMBER</t>
  </si>
  <si>
    <t xml:space="preserve">RIA ANNISA</t>
  </si>
  <si>
    <t xml:space="preserve">62 812-8861-6969</t>
  </si>
  <si>
    <t xml:space="preserve">RABU, 2 SEPTEMBERR</t>
  </si>
  <si>
    <t xml:space="preserve">FENNY</t>
  </si>
  <si>
    <t xml:space="preserve">62 858-8888-9193</t>
  </si>
  <si>
    <t xml:space="preserve">LULU SYA BANIAH</t>
  </si>
  <si>
    <t xml:space="preserve">62 812-3931-4464</t>
  </si>
  <si>
    <t xml:space="preserve">DAMAYANTI FITRIAN</t>
  </si>
  <si>
    <t xml:space="preserve">81916383974</t>
  </si>
  <si>
    <t xml:space="preserve">FAUZUL ADZIMAH</t>
  </si>
  <si>
    <t xml:space="preserve">87844502863</t>
  </si>
  <si>
    <t xml:space="preserve">LIANNY</t>
  </si>
  <si>
    <t xml:space="preserve">62 819-0438-0999</t>
  </si>
  <si>
    <t xml:space="preserve">BETTY ERNI</t>
  </si>
  <si>
    <t xml:space="preserve">62 813-2579-7711</t>
  </si>
  <si>
    <t xml:space="preserve">RABYU, 2 SEPTEMBER</t>
  </si>
  <si>
    <t xml:space="preserve">SHAFA</t>
  </si>
  <si>
    <t xml:space="preserve">62 813-9397-1665</t>
  </si>
  <si>
    <t xml:space="preserve">ABIGAIL CAREL</t>
  </si>
  <si>
    <t xml:space="preserve">81237556983</t>
  </si>
  <si>
    <t xml:space="preserve">PAYMENT SHAFA</t>
  </si>
  <si>
    <t xml:space="preserve">TEMAN BETTY ERNI</t>
  </si>
  <si>
    <t xml:space="preserve">PAYMENT BETTY ERNI</t>
  </si>
  <si>
    <t xml:space="preserve">NAOMI DITYA</t>
  </si>
  <si>
    <t xml:space="preserve">62 813-2909-6560</t>
  </si>
  <si>
    <t xml:space="preserve">WULAN SEPTIKA</t>
  </si>
  <si>
    <t xml:space="preserve">62 813-2600-1167</t>
  </si>
  <si>
    <t xml:space="preserve">LANA ALIFYANA</t>
  </si>
  <si>
    <t xml:space="preserve">62 812-2740-3770</t>
  </si>
  <si>
    <t xml:space="preserve">EMMA EKA</t>
  </si>
  <si>
    <t xml:space="preserve">62 857-2727-1323</t>
  </si>
  <si>
    <t xml:space="preserve">CATHLEYA</t>
  </si>
  <si>
    <t xml:space="preserve">81337534817</t>
  </si>
  <si>
    <t xml:space="preserve">JUM'AT, 4 SEPTEMBER</t>
  </si>
  <si>
    <t xml:space="preserve">YOHANA</t>
  </si>
  <si>
    <t xml:space="preserve">62 812-8735-9707</t>
  </si>
  <si>
    <t xml:space="preserve">PAYMENT CATHLEYA</t>
  </si>
  <si>
    <t xml:space="preserve">LYNNA</t>
  </si>
  <si>
    <t xml:space="preserve">62 878-2107-6667</t>
  </si>
  <si>
    <t xml:space="preserve">WIJE</t>
  </si>
  <si>
    <t xml:space="preserve">62 816-4951-0255</t>
  </si>
  <si>
    <t xml:space="preserve">FIYA</t>
  </si>
  <si>
    <t xml:space="preserve">62 812-2523-1857</t>
  </si>
  <si>
    <t xml:space="preserve">NOVITA</t>
  </si>
  <si>
    <t xml:space="preserve">62 815-6699-074</t>
  </si>
  <si>
    <t xml:space="preserve">RIEKE AMALIA</t>
  </si>
  <si>
    <t xml:space="preserve">81392296993</t>
  </si>
  <si>
    <t xml:space="preserve">SHOLIHAH ANNISA</t>
  </si>
  <si>
    <t xml:space="preserve">62 823-2367-3532</t>
  </si>
  <si>
    <t xml:space="preserve">wulan septika</t>
  </si>
  <si>
    <t xml:space="preserve">SELASA 8 SEPTEMBER</t>
  </si>
  <si>
    <t xml:space="preserve">dewi nagagini</t>
  </si>
  <si>
    <t xml:space="preserve">62 897-9725-178</t>
  </si>
  <si>
    <t xml:space="preserve">ayustya fani`</t>
  </si>
  <si>
    <t xml:space="preserve">62 821-9922-3694</t>
  </si>
  <si>
    <t xml:space="preserve">APRILIA PUSPA</t>
  </si>
  <si>
    <t xml:space="preserve">62 812-2083-8069</t>
  </si>
  <si>
    <t xml:space="preserve">KAMIS, 1O SEPTEMBER</t>
  </si>
  <si>
    <t xml:space="preserve">DIAN TEMAN PUSPA</t>
  </si>
  <si>
    <t xml:space="preserve">SABTU, 12 SEPTEMBER</t>
  </si>
  <si>
    <t xml:space="preserve">TEMAN NOVITA</t>
  </si>
  <si>
    <t xml:space="preserve">FITRIYANTI</t>
  </si>
  <si>
    <t xml:space="preserve">62 813-9810-8336</t>
  </si>
  <si>
    <t xml:space="preserve">RABU, 9 SEPTEMBER</t>
  </si>
  <si>
    <t xml:space="preserve">SAVIRA</t>
  </si>
  <si>
    <t xml:space="preserve">62 857-2734-6697</t>
  </si>
  <si>
    <t xml:space="preserve">JUMAT, 11 SEPTEMBER</t>
  </si>
  <si>
    <t xml:space="preserve">TITA PRADEVI</t>
  </si>
  <si>
    <t xml:space="preserve">8156828882</t>
  </si>
  <si>
    <t xml:space="preserve">SELASA, 8 SEPTEMBER</t>
  </si>
  <si>
    <t xml:space="preserve">UTAMI MARGANING</t>
  </si>
  <si>
    <t xml:space="preserve">TEMAN UTAMI MARGANING</t>
  </si>
  <si>
    <t xml:space="preserve">PAYMENT UTAMI</t>
  </si>
  <si>
    <t xml:space="preserve">DEVI DP</t>
  </si>
  <si>
    <t xml:space="preserve">62 822-2779-6999</t>
  </si>
  <si>
    <t xml:space="preserve">EMA TEMAN DEVI</t>
  </si>
  <si>
    <t xml:space="preserve">PAYMENT DEVI</t>
  </si>
  <si>
    <t xml:space="preserve">SHYANNE</t>
  </si>
  <si>
    <t xml:space="preserve">81333787431</t>
  </si>
  <si>
    <t xml:space="preserve">MELLY MEGA</t>
  </si>
  <si>
    <t xml:space="preserve">62 819-0111-5522</t>
  </si>
  <si>
    <t xml:space="preserve">PAYMENT SHYANNE</t>
  </si>
  <si>
    <t xml:space="preserve">CEIN</t>
  </si>
  <si>
    <t xml:space="preserve">81313674388</t>
  </si>
  <si>
    <t xml:space="preserve">ANI</t>
  </si>
  <si>
    <t xml:space="preserve">62 819-1873-1939</t>
  </si>
  <si>
    <t xml:space="preserve">Panduan Jenis Transaksi &amp; Kelengkapan Field</t>
  </si>
  <si>
    <t xml:space="preserve">Arti</t>
  </si>
  <si>
    <t xml:space="preserve">BOOKING BARU</t>
  </si>
  <si>
    <t xml:space="preserve">Daftar ke kelas (belum tentu langsung bayar)</t>
  </si>
  <si>
    <t xml:space="preserve">PAYMENT</t>
  </si>
  <si>
    <t xml:space="preserve">Ada uang masuk (lihat kolom Status Bayar)</t>
  </si>
  <si>
    <t xml:space="preserve">PAKAI SESI MEMBER</t>
  </si>
  <si>
    <t xml:space="preserve">Customer paket, tidak ada uang berpindah</t>
  </si>
  <si>
    <t xml:space="preserve">TAMBAH PAKET</t>
  </si>
  <si>
    <t xml:space="preserve">Beli paket baru, transaksi berdiri sendiri</t>
  </si>
  <si>
    <t xml:space="preserve">RESCHEDULE</t>
  </si>
  <si>
    <t xml:space="preserve">Orang sama, jadwal pindah</t>
  </si>
  <si>
    <t xml:space="preserve">CANCEL</t>
  </si>
  <si>
    <t xml:space="preserve">Batalkan booking, slot dilepas</t>
  </si>
  <si>
    <t xml:space="preserve">REFUND</t>
  </si>
  <si>
    <t xml:space="preserve">Uang dikembalikan ke customer (biasanya menyusul Cancel)</t>
  </si>
  <si>
    <t xml:space="preserve">TRANSFER SESI</t>
  </si>
  <si>
    <t xml:space="preserve">Sesi dipindah ke orang lain</t>
  </si>
  <si>
    <t xml:space="preserve">ATURAN: 1 baris = 1 kejadian. Jangan edit atau hapus baris lama — setiap perubahan = tambah baris baru. Gunakan filter untuk cari customer atau jenis transaksi.</t>
  </si>
  <si>
    <t xml:space="preserve">Kelengkapan field per kolom Log Transaksi:</t>
  </si>
  <si>
    <t xml:space="preserve">Kolom</t>
  </si>
  <si>
    <t xml:space="preserve">Kelengkapan</t>
  </si>
  <si>
    <t xml:space="preserve">WAJIB</t>
  </si>
  <si>
    <t xml:space="preserve">opsional</t>
  </si>
  <si>
    <t xml:space="preserve">jika ada kelas</t>
  </si>
  <si>
    <t xml:space="preserve">jika ada uang</t>
  </si>
  <si>
    <t xml:space="preserve">jika dibayar orang lain</t>
  </si>
  <si>
    <t xml:space="preserve">jika lanjutan transaksi lain</t>
  </si>
  <si>
    <t xml:space="preserve">jika reschedule</t>
  </si>
  <si>
    <t xml:space="preserve">jika cancel/refund/reschedule</t>
  </si>
  <si>
    <t xml:space="preserve">Alokasi Mat/Shade per Peserta (perlu klarifikasi kegunaannya - lihat Catatan Konversi)</t>
  </si>
  <si>
    <t xml:space="preserve">Nama</t>
  </si>
  <si>
    <t xml:space="preserve">Status Pembayaran</t>
  </si>
  <si>
    <t xml:space="preserve">Shade</t>
  </si>
  <si>
    <t xml:space="preserve">Diana Novita</t>
  </si>
  <si>
    <t xml:space="preserve">Jumat 4 &amp; 11 Sept, jam 08.40</t>
  </si>
  <si>
    <t xml:space="preserve">Booked</t>
  </si>
  <si>
    <t xml:space="preserve">D24 Serve</t>
  </si>
  <si>
    <t xml:space="preserve">Yani</t>
  </si>
  <si>
    <t xml:space="preserve">D07 Hallway</t>
  </si>
  <si>
    <t xml:space="preserve">Lisa Meylinda</t>
  </si>
  <si>
    <t xml:space="preserve">D18 Duchess</t>
  </si>
  <si>
    <t xml:space="preserve">Amalina</t>
  </si>
  <si>
    <t xml:space="preserve">D09 Skye Glaze</t>
  </si>
  <si>
    <t xml:space="preserve">Nurul Millah</t>
  </si>
  <si>
    <t xml:space="preserve">D20 Dazed</t>
  </si>
  <si>
    <t xml:space="preserve">Intan S</t>
  </si>
  <si>
    <t xml:space="preserve">D10 DNA</t>
  </si>
  <si>
    <t xml:space="preserve">Tatik</t>
  </si>
  <si>
    <t xml:space="preserve">Jumat 4 &amp; 11 Sept, jam 09.50</t>
  </si>
  <si>
    <t xml:space="preserve">D14 Cherry</t>
  </si>
  <si>
    <t xml:space="preserve">Feby Cahyani</t>
  </si>
  <si>
    <t xml:space="preserve">D21 Extra</t>
  </si>
  <si>
    <t xml:space="preserve">Ajeng</t>
  </si>
  <si>
    <t xml:space="preserve">D02 Vixen</t>
  </si>
  <si>
    <t xml:space="preserve">Fauziah Galuh</t>
  </si>
  <si>
    <t xml:space="preserve">D11 Pompous</t>
  </si>
  <si>
    <t xml:space="preserve">Hwenny</t>
  </si>
  <si>
    <t xml:space="preserve">D17 As If</t>
  </si>
  <si>
    <t xml:space="preserve">Jessica Budi</t>
  </si>
  <si>
    <t xml:space="preserve">D15 Psyched</t>
  </si>
  <si>
    <t xml:space="preserve">Dian Cahyaningtyas</t>
  </si>
  <si>
    <t xml:space="preserve">Sabtu 5 &amp; 12 Sept, jam 08.40</t>
  </si>
  <si>
    <t xml:space="preserve">Tika</t>
  </si>
  <si>
    <t xml:space="preserve">D23 Wyd</t>
  </si>
  <si>
    <t xml:space="preserve">Astrid Junia</t>
  </si>
  <si>
    <t xml:space="preserve">Fitriyanti</t>
  </si>
  <si>
    <t xml:space="preserve">Berliang Anugraeni</t>
  </si>
  <si>
    <t xml:space="preserve">Fina Fahriyah</t>
  </si>
  <si>
    <t xml:space="preserve">D01 Lover</t>
  </si>
  <si>
    <t xml:space="preserve">Elsa Talina</t>
  </si>
  <si>
    <t xml:space="preserve">Sabtu 5 &amp; 12 Sept, jam 09.50</t>
  </si>
  <si>
    <t xml:space="preserve">FINA SALSABILA</t>
  </si>
  <si>
    <t xml:space="preserve">D20 DAZED</t>
  </si>
  <si>
    <t xml:space="preserve">NUR AMANAH</t>
  </si>
  <si>
    <t xml:space="preserve">D14 CHERRY</t>
  </si>
  <si>
    <t xml:space="preserve">Ade Susati</t>
  </si>
  <si>
    <t xml:space="preserve">Devi Christianti</t>
  </si>
  <si>
    <t xml:space="preserve">Tata</t>
  </si>
</sst>
</file>

<file path=xl/styles.xml><?xml version="1.0" encoding="utf-8"?>
<styleSheet xmlns="http://schemas.openxmlformats.org/spreadsheetml/2006/main">
  <numFmts count="3">
    <numFmt numFmtId="164" formatCode="General"/>
    <numFmt numFmtId="165" formatCode="@"/>
    <numFmt numFmtId="166" formatCode="&quot;Rp &quot;#,##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b val="true"/>
      <sz val="10"/>
      <name val="Arial"/>
      <family val="0"/>
      <charset val="1"/>
    </font>
    <font>
      <sz val="10"/>
      <name val="Arial"/>
      <family val="0"/>
      <charset val="1"/>
    </font>
    <font>
      <i val="true"/>
      <sz val="9"/>
      <color rgb="FF555555"/>
      <name val="Arial"/>
      <family val="0"/>
      <charset val="1"/>
    </font>
  </fonts>
  <fills count="3">
    <fill>
      <patternFill patternType="none"/>
    </fill>
    <fill>
      <patternFill patternType="gray125"/>
    </fill>
    <fill>
      <patternFill patternType="solid">
        <fgColor rgb="FF2F5C8A"/>
        <bgColor rgb="FF555555"/>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1" t="s">
        <v>0</v>
      </c>
      <c r="B1" s="1"/>
    </row>
    <row r="3" customFormat="false" ht="15" hidden="false" customHeight="false" outlineLevel="0" collapsed="false">
      <c r="A3" s="2" t="s">
        <v>1</v>
      </c>
      <c r="B3" s="2" t="s">
        <v>2</v>
      </c>
    </row>
    <row r="4" customFormat="false" ht="45" hidden="false" customHeight="true" outlineLevel="0" collapsed="false">
      <c r="A4" s="3" t="s">
        <v>3</v>
      </c>
      <c r="B4" s="4" t="s">
        <v>4</v>
      </c>
    </row>
    <row r="5" customFormat="false" ht="45" hidden="false" customHeight="true" outlineLevel="0" collapsed="false">
      <c r="A5" s="3" t="s">
        <v>5</v>
      </c>
      <c r="B5" s="4" t="s">
        <v>6</v>
      </c>
    </row>
    <row r="6" customFormat="false" ht="45" hidden="false" customHeight="true" outlineLevel="0" collapsed="false">
      <c r="A6" s="3" t="s">
        <v>7</v>
      </c>
      <c r="B6" s="4" t="s">
        <v>8</v>
      </c>
    </row>
    <row r="7" customFormat="false" ht="45" hidden="false" customHeight="true" outlineLevel="0" collapsed="false">
      <c r="A7" s="3" t="s">
        <v>9</v>
      </c>
      <c r="B7" s="4" t="s">
        <v>10</v>
      </c>
    </row>
    <row r="8" customFormat="false" ht="45" hidden="false" customHeight="true" outlineLevel="0" collapsed="false">
      <c r="A8" s="3" t="s">
        <v>11</v>
      </c>
      <c r="B8" s="4" t="s">
        <v>12</v>
      </c>
    </row>
    <row r="9" customFormat="false" ht="45" hidden="false" customHeight="true" outlineLevel="0" collapsed="false">
      <c r="A9" s="3" t="s">
        <v>13</v>
      </c>
      <c r="B9" s="4" t="s">
        <v>14</v>
      </c>
    </row>
    <row r="10" customFormat="false" ht="45" hidden="false" customHeight="true" outlineLevel="0" collapsed="false">
      <c r="A10" s="3" t="s">
        <v>15</v>
      </c>
      <c r="B10" s="4" t="s">
        <v>16</v>
      </c>
    </row>
    <row r="11" customFormat="false" ht="45" hidden="false" customHeight="true" outlineLevel="0" collapsed="false">
      <c r="A11" s="3" t="s">
        <v>17</v>
      </c>
      <c r="B11" s="4" t="s">
        <v>18</v>
      </c>
    </row>
    <row r="12" customFormat="false" ht="45" hidden="false" customHeight="true" outlineLevel="0" collapsed="false">
      <c r="A12" s="3" t="s">
        <v>19</v>
      </c>
      <c r="B12" s="4" t="s">
        <v>20</v>
      </c>
    </row>
    <row r="13" customFormat="false" ht="45" hidden="false" customHeight="true" outlineLevel="0" collapsed="false">
      <c r="A13" s="3" t="s">
        <v>21</v>
      </c>
      <c r="B13" s="4" t="s">
        <v>22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8"/>
    <col collapsed="false" customWidth="true" hidden="false" outlineLevel="0" max="5" min="5" style="0" width="10"/>
    <col collapsed="false" customWidth="true" hidden="false" outlineLevel="0" max="6" min="6" style="0" width="14"/>
    <col collapsed="false" customWidth="true" hidden="false" outlineLevel="0" max="8" min="7" style="0" width="7"/>
    <col collapsed="false" customWidth="true" hidden="false" outlineLevel="0" max="9" min="9" style="0" width="9"/>
    <col collapsed="false" customWidth="true" hidden="false" outlineLevel="0" max="10" min="10" style="0" width="7"/>
    <col collapsed="false" customWidth="true" hidden="false" outlineLevel="0" max="11" min="11" style="0" width="13"/>
    <col collapsed="false" customWidth="true" hidden="false" outlineLevel="0" max="12" min="12" style="0" width="40"/>
    <col collapsed="false" customWidth="true" hidden="false" outlineLevel="0" max="13" min="13" style="0" width="16"/>
  </cols>
  <sheetData>
    <row r="1" customFormat="false" ht="15" hidden="false" customHeight="false" outlineLevel="0" collapsed="false">
      <c r="A1" s="1" t="s">
        <v>23</v>
      </c>
      <c r="B1" s="1"/>
      <c r="C1" s="1"/>
      <c r="D1" s="1"/>
      <c r="E1" s="1"/>
      <c r="F1" s="1"/>
      <c r="G1" s="1"/>
      <c r="H1" s="1"/>
      <c r="I1" s="1"/>
      <c r="J1" s="1"/>
      <c r="K1" s="1"/>
      <c r="L1" s="1"/>
      <c r="M1" s="1"/>
    </row>
    <row r="2" customFormat="false" ht="15" hidden="false" customHeight="false" outlineLevel="0" collapsed="false">
      <c r="A2" s="5" t="s">
        <v>24</v>
      </c>
      <c r="B2" s="5"/>
      <c r="C2" s="5"/>
      <c r="D2" s="5"/>
      <c r="E2" s="5"/>
      <c r="F2" s="5"/>
      <c r="G2" s="5"/>
      <c r="H2" s="5"/>
      <c r="I2" s="5"/>
      <c r="J2" s="5"/>
      <c r="K2" s="5"/>
      <c r="L2" s="5"/>
      <c r="M2" s="5"/>
    </row>
    <row r="4" customFormat="false" ht="15" hidden="false" customHeight="false" outlineLevel="0" collapsed="false">
      <c r="A4" s="2" t="s">
        <v>25</v>
      </c>
      <c r="B4" s="2" t="s">
        <v>26</v>
      </c>
      <c r="C4" s="2" t="s">
        <v>27</v>
      </c>
      <c r="D4" s="2" t="s">
        <v>28</v>
      </c>
      <c r="E4" s="2" t="s">
        <v>29</v>
      </c>
      <c r="F4" s="2" t="s">
        <v>30</v>
      </c>
      <c r="G4" s="2" t="s">
        <v>31</v>
      </c>
      <c r="H4" s="2" t="s">
        <v>32</v>
      </c>
      <c r="I4" s="2" t="s">
        <v>33</v>
      </c>
      <c r="J4" s="2" t="s">
        <v>34</v>
      </c>
      <c r="K4" s="2" t="s">
        <v>35</v>
      </c>
      <c r="L4" s="2" t="s">
        <v>36</v>
      </c>
      <c r="M4" s="2" t="s">
        <v>37</v>
      </c>
    </row>
    <row r="5" customFormat="false" ht="15" hidden="false" customHeight="false" outlineLevel="0" collapsed="false">
      <c r="A5" s="6" t="s">
        <v>38</v>
      </c>
      <c r="B5" s="6" t="s">
        <v>39</v>
      </c>
      <c r="C5" s="6" t="s">
        <v>40</v>
      </c>
      <c r="D5" s="6" t="s">
        <v>41</v>
      </c>
      <c r="E5" s="6" t="s">
        <v>42</v>
      </c>
      <c r="F5" s="6" t="s">
        <v>43</v>
      </c>
      <c r="G5" s="7" t="n">
        <v>6</v>
      </c>
      <c r="H5" s="7" t="n">
        <v>0</v>
      </c>
      <c r="I5" s="7" t="n">
        <v>3</v>
      </c>
      <c r="J5" s="7" t="n">
        <f aca="false">G5-H5-I5</f>
        <v>3</v>
      </c>
      <c r="K5" s="6" t="str">
        <f aca="false">IF(J5=0,"FULL",IF(J5&lt;=2,"Hampir Penuh","Tersedia"))</f>
        <v>Tersedia</v>
      </c>
      <c r="L5" s="6" t="s">
        <v>44</v>
      </c>
      <c r="M5" s="6"/>
    </row>
    <row r="6" customFormat="false" ht="15" hidden="false" customHeight="false" outlineLevel="0" collapsed="false">
      <c r="A6" s="6" t="s">
        <v>38</v>
      </c>
      <c r="B6" s="6" t="s">
        <v>39</v>
      </c>
      <c r="C6" s="6" t="s">
        <v>45</v>
      </c>
      <c r="D6" s="6" t="s">
        <v>46</v>
      </c>
      <c r="E6" s="6" t="s">
        <v>42</v>
      </c>
      <c r="F6" s="6" t="s">
        <v>43</v>
      </c>
      <c r="G6" s="7" t="n">
        <v>6</v>
      </c>
      <c r="H6" s="7" t="n">
        <v>0</v>
      </c>
      <c r="I6" s="7" t="n">
        <v>5</v>
      </c>
      <c r="J6" s="7" t="n">
        <f aca="false">G6-H6-I6</f>
        <v>1</v>
      </c>
      <c r="K6" s="6" t="str">
        <f aca="false">IF(J6=0,"FULL",IF(J6&lt;=2,"Hampir Penuh","Tersedia"))</f>
        <v>Hampir Penuh</v>
      </c>
      <c r="L6" s="6" t="s">
        <v>47</v>
      </c>
      <c r="M6" s="6"/>
    </row>
    <row r="7" customFormat="false" ht="15" hidden="false" customHeight="false" outlineLevel="0" collapsed="false">
      <c r="A7" s="6" t="s">
        <v>38</v>
      </c>
      <c r="B7" s="6" t="s">
        <v>39</v>
      </c>
      <c r="C7" s="6" t="s">
        <v>48</v>
      </c>
      <c r="D7" s="6" t="s">
        <v>49</v>
      </c>
      <c r="E7" s="6" t="s">
        <v>42</v>
      </c>
      <c r="F7" s="6" t="s">
        <v>43</v>
      </c>
      <c r="G7" s="7" t="n">
        <v>6</v>
      </c>
      <c r="H7" s="7" t="n">
        <v>0</v>
      </c>
      <c r="I7" s="7" t="n">
        <v>6</v>
      </c>
      <c r="J7" s="7" t="n">
        <f aca="false">G7-H7-I7</f>
        <v>0</v>
      </c>
      <c r="K7" s="6" t="str">
        <f aca="false">IF(J7=0,"FULL",IF(J7&lt;=2,"Hampir Penuh","Tersedia"))</f>
        <v>FULL</v>
      </c>
      <c r="L7" s="6" t="s">
        <v>50</v>
      </c>
      <c r="M7" s="6"/>
    </row>
    <row r="8" customFormat="false" ht="15" hidden="false" customHeight="false" outlineLevel="0" collapsed="false">
      <c r="A8" s="6" t="s">
        <v>38</v>
      </c>
      <c r="B8" s="6" t="s">
        <v>39</v>
      </c>
      <c r="C8" s="6" t="s">
        <v>51</v>
      </c>
      <c r="D8" s="6" t="s">
        <v>52</v>
      </c>
      <c r="E8" s="6" t="s">
        <v>42</v>
      </c>
      <c r="F8" s="6" t="s">
        <v>43</v>
      </c>
      <c r="G8" s="7" t="n">
        <v>6</v>
      </c>
      <c r="H8" s="7" t="n">
        <v>0</v>
      </c>
      <c r="I8" s="7" t="n">
        <v>6</v>
      </c>
      <c r="J8" s="7" t="n">
        <f aca="false">G8-H8-I8</f>
        <v>0</v>
      </c>
      <c r="K8" s="6" t="str">
        <f aca="false">IF(J8=0,"FULL",IF(J8&lt;=2,"Hampir Penuh","Tersedia"))</f>
        <v>FULL</v>
      </c>
      <c r="L8" s="6" t="s">
        <v>53</v>
      </c>
      <c r="M8" s="6"/>
    </row>
    <row r="9" customFormat="false" ht="15" hidden="false" customHeight="false" outlineLevel="0" collapsed="false">
      <c r="A9" s="6" t="s">
        <v>38</v>
      </c>
      <c r="B9" s="6" t="s">
        <v>39</v>
      </c>
      <c r="C9" s="6" t="s">
        <v>54</v>
      </c>
      <c r="D9" s="6" t="s">
        <v>55</v>
      </c>
      <c r="E9" s="6"/>
      <c r="F9" s="6" t="s">
        <v>43</v>
      </c>
      <c r="G9" s="7" t="n">
        <v>6</v>
      </c>
      <c r="H9" s="7" t="n">
        <v>0</v>
      </c>
      <c r="I9" s="7" t="n">
        <v>0</v>
      </c>
      <c r="J9" s="7" t="n">
        <f aca="false">G9-H9-I9</f>
        <v>6</v>
      </c>
      <c r="K9" s="6" t="str">
        <f aca="false">IF(J9=0,"FULL",IF(J9&lt;=2,"Hampir Penuh","Tersedia"))</f>
        <v>Tersedia</v>
      </c>
      <c r="L9" s="6"/>
      <c r="M9" s="6"/>
    </row>
    <row r="10" customFormat="false" ht="15" hidden="false" customHeight="false" outlineLevel="0" collapsed="false">
      <c r="A10" s="6" t="s">
        <v>38</v>
      </c>
      <c r="B10" s="6" t="s">
        <v>39</v>
      </c>
      <c r="C10" s="6" t="s">
        <v>56</v>
      </c>
      <c r="D10" s="6" t="s">
        <v>57</v>
      </c>
      <c r="E10" s="6"/>
      <c r="F10" s="6" t="s">
        <v>43</v>
      </c>
      <c r="G10" s="7" t="n">
        <v>6</v>
      </c>
      <c r="H10" s="7" t="n">
        <v>0</v>
      </c>
      <c r="I10" s="7" t="n">
        <v>0</v>
      </c>
      <c r="J10" s="7" t="n">
        <f aca="false">G10-H10-I10</f>
        <v>6</v>
      </c>
      <c r="K10" s="6" t="str">
        <f aca="false">IF(J10=0,"FULL",IF(J10&lt;=2,"Hampir Penuh","Tersedia"))</f>
        <v>Tersedia</v>
      </c>
      <c r="L10" s="6"/>
      <c r="M10" s="6"/>
    </row>
    <row r="11" customFormat="false" ht="15" hidden="false" customHeight="false" outlineLevel="0" collapsed="false">
      <c r="A11" s="6" t="s">
        <v>38</v>
      </c>
      <c r="B11" s="6" t="s">
        <v>39</v>
      </c>
      <c r="C11" s="6" t="s">
        <v>58</v>
      </c>
      <c r="D11" s="6" t="s">
        <v>59</v>
      </c>
      <c r="E11" s="6"/>
      <c r="F11" s="6" t="s">
        <v>43</v>
      </c>
      <c r="G11" s="7" t="n">
        <v>6</v>
      </c>
      <c r="H11" s="7" t="n">
        <v>0</v>
      </c>
      <c r="I11" s="7" t="n">
        <v>0</v>
      </c>
      <c r="J11" s="7" t="n">
        <f aca="false">G11-H11-I11</f>
        <v>6</v>
      </c>
      <c r="K11" s="6" t="str">
        <f aca="false">IF(J11=0,"FULL",IF(J11&lt;=2,"Hampir Penuh","Tersedia"))</f>
        <v>Tersedia</v>
      </c>
      <c r="L11" s="6"/>
      <c r="M11" s="6"/>
    </row>
    <row r="12" customFormat="false" ht="15" hidden="false" customHeight="false" outlineLevel="0" collapsed="false">
      <c r="A12" s="6" t="s">
        <v>38</v>
      </c>
      <c r="B12" s="6" t="s">
        <v>39</v>
      </c>
      <c r="C12" s="6" t="s">
        <v>60</v>
      </c>
      <c r="D12" s="6" t="s">
        <v>61</v>
      </c>
      <c r="E12" s="6"/>
      <c r="F12" s="6" t="s">
        <v>43</v>
      </c>
      <c r="G12" s="7" t="n">
        <v>6</v>
      </c>
      <c r="H12" s="7" t="n">
        <v>0</v>
      </c>
      <c r="I12" s="7" t="n">
        <v>0</v>
      </c>
      <c r="J12" s="7" t="n">
        <f aca="false">G12-H12-I12</f>
        <v>6</v>
      </c>
      <c r="K12" s="6" t="str">
        <f aca="false">IF(J12=0,"FULL",IF(J12&lt;=2,"Hampir Penuh","Tersedia"))</f>
        <v>Tersedia</v>
      </c>
      <c r="L12" s="6"/>
      <c r="M12" s="6"/>
    </row>
    <row r="13" customFormat="false" ht="15" hidden="false" customHeight="false" outlineLevel="0" collapsed="false">
      <c r="A13" s="6" t="s">
        <v>38</v>
      </c>
      <c r="B13" s="6" t="s">
        <v>39</v>
      </c>
      <c r="C13" s="6" t="s">
        <v>62</v>
      </c>
      <c r="D13" s="6"/>
      <c r="E13" s="6"/>
      <c r="F13" s="6" t="s">
        <v>43</v>
      </c>
      <c r="G13" s="7" t="n">
        <v>6</v>
      </c>
      <c r="H13" s="7" t="n">
        <v>0</v>
      </c>
      <c r="I13" s="7" t="n">
        <v>0</v>
      </c>
      <c r="J13" s="7" t="n">
        <f aca="false">G13-H13-I13</f>
        <v>6</v>
      </c>
      <c r="K13" s="6" t="str">
        <f aca="false">IF(J13=0,"FULL",IF(J13&lt;=2,"Hampir Penuh","Tersedia"))</f>
        <v>Tersedia</v>
      </c>
      <c r="L13" s="6"/>
      <c r="M13" s="6"/>
    </row>
    <row r="14" customFormat="false" ht="15" hidden="false" customHeight="false" outlineLevel="0" collapsed="false">
      <c r="A14" s="6" t="s">
        <v>38</v>
      </c>
      <c r="B14" s="6" t="s">
        <v>39</v>
      </c>
      <c r="C14" s="6" t="s">
        <v>63</v>
      </c>
      <c r="D14" s="6"/>
      <c r="E14" s="6"/>
      <c r="F14" s="6" t="s">
        <v>43</v>
      </c>
      <c r="G14" s="7" t="n">
        <v>6</v>
      </c>
      <c r="H14" s="7" t="n">
        <v>0</v>
      </c>
      <c r="I14" s="7" t="n">
        <v>0</v>
      </c>
      <c r="J14" s="7" t="n">
        <f aca="false">G14-H14-I14</f>
        <v>6</v>
      </c>
      <c r="K14" s="6" t="str">
        <f aca="false">IF(J14=0,"FULL",IF(J14&lt;=2,"Hampir Penuh","Tersedia"))</f>
        <v>Tersedia</v>
      </c>
      <c r="L14" s="6"/>
      <c r="M14" s="6"/>
    </row>
    <row r="15" customFormat="false" ht="15" hidden="false" customHeight="false" outlineLevel="0" collapsed="false">
      <c r="A15" s="6" t="s">
        <v>38</v>
      </c>
      <c r="B15" s="6" t="s">
        <v>64</v>
      </c>
      <c r="C15" s="6" t="s">
        <v>40</v>
      </c>
      <c r="D15" s="6" t="s">
        <v>65</v>
      </c>
      <c r="E15" s="6" t="s">
        <v>66</v>
      </c>
      <c r="F15" s="6" t="s">
        <v>43</v>
      </c>
      <c r="G15" s="7" t="n">
        <v>6</v>
      </c>
      <c r="H15" s="7" t="n">
        <v>0</v>
      </c>
      <c r="I15" s="7" t="n">
        <v>6</v>
      </c>
      <c r="J15" s="7" t="n">
        <f aca="false">G15-H15-I15</f>
        <v>0</v>
      </c>
      <c r="K15" s="6" t="str">
        <f aca="false">IF(J15=0,"FULL",IF(J15&lt;=2,"Hampir Penuh","Tersedia"))</f>
        <v>FULL</v>
      </c>
      <c r="L15" s="6" t="s">
        <v>67</v>
      </c>
      <c r="M15" s="6"/>
    </row>
    <row r="16" customFormat="false" ht="15" hidden="false" customHeight="false" outlineLevel="0" collapsed="false">
      <c r="A16" s="6" t="s">
        <v>38</v>
      </c>
      <c r="B16" s="6" t="s">
        <v>64</v>
      </c>
      <c r="C16" s="6" t="s">
        <v>45</v>
      </c>
      <c r="D16" s="6" t="s">
        <v>68</v>
      </c>
      <c r="E16" s="6" t="s">
        <v>66</v>
      </c>
      <c r="F16" s="6" t="s">
        <v>43</v>
      </c>
      <c r="G16" s="7" t="n">
        <v>6</v>
      </c>
      <c r="H16" s="7" t="n">
        <v>0</v>
      </c>
      <c r="I16" s="7" t="n">
        <v>6</v>
      </c>
      <c r="J16" s="7" t="n">
        <f aca="false">G16-H16-I16</f>
        <v>0</v>
      </c>
      <c r="K16" s="6" t="str">
        <f aca="false">IF(J16=0,"FULL",IF(J16&lt;=2,"Hampir Penuh","Tersedia"))</f>
        <v>FULL</v>
      </c>
      <c r="L16" s="6" t="s">
        <v>69</v>
      </c>
      <c r="M16" s="6"/>
    </row>
    <row r="17" customFormat="false" ht="15" hidden="false" customHeight="false" outlineLevel="0" collapsed="false">
      <c r="A17" s="6" t="s">
        <v>38</v>
      </c>
      <c r="B17" s="6" t="s">
        <v>64</v>
      </c>
      <c r="C17" s="6" t="s">
        <v>48</v>
      </c>
      <c r="D17" s="6" t="s">
        <v>70</v>
      </c>
      <c r="E17" s="6" t="s">
        <v>66</v>
      </c>
      <c r="F17" s="6" t="s">
        <v>43</v>
      </c>
      <c r="G17" s="7" t="n">
        <v>6</v>
      </c>
      <c r="H17" s="7" t="n">
        <v>0</v>
      </c>
      <c r="I17" s="7" t="n">
        <v>5</v>
      </c>
      <c r="J17" s="7" t="n">
        <f aca="false">G17-H17-I17</f>
        <v>1</v>
      </c>
      <c r="K17" s="6" t="str">
        <f aca="false">IF(J17=0,"FULL",IF(J17&lt;=2,"Hampir Penuh","Tersedia"))</f>
        <v>Hampir Penuh</v>
      </c>
      <c r="L17" s="6" t="s">
        <v>71</v>
      </c>
      <c r="M17" s="6"/>
    </row>
    <row r="18" customFormat="false" ht="15" hidden="false" customHeight="false" outlineLevel="0" collapsed="false">
      <c r="A18" s="6" t="s">
        <v>38</v>
      </c>
      <c r="B18" s="6" t="s">
        <v>64</v>
      </c>
      <c r="C18" s="6" t="s">
        <v>51</v>
      </c>
      <c r="D18" s="6" t="s">
        <v>57</v>
      </c>
      <c r="E18" s="6" t="s">
        <v>42</v>
      </c>
      <c r="F18" s="6" t="s">
        <v>43</v>
      </c>
      <c r="G18" s="7" t="n">
        <v>6</v>
      </c>
      <c r="H18" s="7" t="n">
        <v>0</v>
      </c>
      <c r="I18" s="7" t="n">
        <v>6</v>
      </c>
      <c r="J18" s="7" t="n">
        <f aca="false">G18-H18-I18</f>
        <v>0</v>
      </c>
      <c r="K18" s="6" t="str">
        <f aca="false">IF(J18=0,"FULL",IF(J18&lt;=2,"Hampir Penuh","Tersedia"))</f>
        <v>FULL</v>
      </c>
      <c r="L18" s="6" t="s">
        <v>72</v>
      </c>
      <c r="M18" s="6"/>
    </row>
    <row r="19" customFormat="false" ht="15" hidden="false" customHeight="false" outlineLevel="0" collapsed="false">
      <c r="A19" s="6" t="s">
        <v>38</v>
      </c>
      <c r="B19" s="6" t="s">
        <v>64</v>
      </c>
      <c r="C19" s="6" t="s">
        <v>54</v>
      </c>
      <c r="D19" s="6" t="s">
        <v>59</v>
      </c>
      <c r="E19" s="6" t="s">
        <v>42</v>
      </c>
      <c r="F19" s="6" t="s">
        <v>73</v>
      </c>
      <c r="G19" s="7" t="n">
        <v>6</v>
      </c>
      <c r="H19" s="7" t="n">
        <v>0</v>
      </c>
      <c r="I19" s="7" t="n">
        <v>6</v>
      </c>
      <c r="J19" s="7" t="n">
        <f aca="false">G19-H19-I19</f>
        <v>0</v>
      </c>
      <c r="K19" s="6" t="str">
        <f aca="false">IF(J19=0,"FULL",IF(J19&lt;=2,"Hampir Penuh","Tersedia"))</f>
        <v>FULL</v>
      </c>
      <c r="L19" s="6" t="s">
        <v>74</v>
      </c>
      <c r="M19" s="6"/>
    </row>
    <row r="20" customFormat="false" ht="15" hidden="false" customHeight="false" outlineLevel="0" collapsed="false">
      <c r="A20" s="6" t="s">
        <v>38</v>
      </c>
      <c r="B20" s="6" t="s">
        <v>64</v>
      </c>
      <c r="C20" s="6" t="s">
        <v>56</v>
      </c>
      <c r="D20" s="6" t="s">
        <v>61</v>
      </c>
      <c r="E20" s="6" t="s">
        <v>42</v>
      </c>
      <c r="F20" s="6" t="s">
        <v>43</v>
      </c>
      <c r="G20" s="7" t="n">
        <v>6</v>
      </c>
      <c r="H20" s="7" t="n">
        <v>0</v>
      </c>
      <c r="I20" s="7" t="n">
        <v>6</v>
      </c>
      <c r="J20" s="7" t="n">
        <f aca="false">G20-H20-I20</f>
        <v>0</v>
      </c>
      <c r="K20" s="6" t="str">
        <f aca="false">IF(J20=0,"FULL",IF(J20&lt;=2,"Hampir Penuh","Tersedia"))</f>
        <v>FULL</v>
      </c>
      <c r="L20" s="6" t="s">
        <v>75</v>
      </c>
      <c r="M20" s="6"/>
    </row>
    <row r="21" customFormat="false" ht="15" hidden="false" customHeight="false" outlineLevel="0" collapsed="false">
      <c r="A21" s="6" t="s">
        <v>38</v>
      </c>
      <c r="B21" s="6" t="s">
        <v>64</v>
      </c>
      <c r="C21" s="6" t="s">
        <v>58</v>
      </c>
      <c r="D21" s="6"/>
      <c r="E21" s="6"/>
      <c r="F21" s="6" t="s">
        <v>43</v>
      </c>
      <c r="G21" s="7" t="n">
        <v>6</v>
      </c>
      <c r="H21" s="7" t="n">
        <v>0</v>
      </c>
      <c r="I21" s="7" t="n">
        <v>0</v>
      </c>
      <c r="J21" s="7" t="n">
        <f aca="false">G21-H21-I21</f>
        <v>6</v>
      </c>
      <c r="K21" s="6" t="str">
        <f aca="false">IF(J21=0,"FULL",IF(J21&lt;=2,"Hampir Penuh","Tersedia"))</f>
        <v>Tersedia</v>
      </c>
      <c r="L21" s="6"/>
      <c r="M21" s="6"/>
    </row>
    <row r="22" customFormat="false" ht="15" hidden="false" customHeight="false" outlineLevel="0" collapsed="false">
      <c r="A22" s="6" t="s">
        <v>38</v>
      </c>
      <c r="B22" s="6" t="s">
        <v>64</v>
      </c>
      <c r="C22" s="6" t="s">
        <v>60</v>
      </c>
      <c r="D22" s="6"/>
      <c r="E22" s="6"/>
      <c r="F22" s="6" t="s">
        <v>43</v>
      </c>
      <c r="G22" s="7" t="n">
        <v>6</v>
      </c>
      <c r="H22" s="7" t="n">
        <v>0</v>
      </c>
      <c r="I22" s="7" t="n">
        <v>0</v>
      </c>
      <c r="J22" s="7" t="n">
        <f aca="false">G22-H22-I22</f>
        <v>6</v>
      </c>
      <c r="K22" s="6" t="str">
        <f aca="false">IF(J22=0,"FULL",IF(J22&lt;=2,"Hampir Penuh","Tersedia"))</f>
        <v>Tersedia</v>
      </c>
      <c r="L22" s="6"/>
      <c r="M22" s="6"/>
    </row>
    <row r="23" customFormat="false" ht="15" hidden="false" customHeight="false" outlineLevel="0" collapsed="false">
      <c r="A23" s="6" t="s">
        <v>38</v>
      </c>
      <c r="B23" s="6" t="s">
        <v>64</v>
      </c>
      <c r="C23" s="6" t="s">
        <v>62</v>
      </c>
      <c r="D23" s="6"/>
      <c r="E23" s="6"/>
      <c r="F23" s="6" t="s">
        <v>43</v>
      </c>
      <c r="G23" s="7" t="n">
        <v>6</v>
      </c>
      <c r="H23" s="7" t="n">
        <v>0</v>
      </c>
      <c r="I23" s="7" t="n">
        <v>0</v>
      </c>
      <c r="J23" s="7" t="n">
        <f aca="false">G23-H23-I23</f>
        <v>6</v>
      </c>
      <c r="K23" s="6" t="str">
        <f aca="false">IF(J23=0,"FULL",IF(J23&lt;=2,"Hampir Penuh","Tersedia"))</f>
        <v>Tersedia</v>
      </c>
      <c r="L23" s="6"/>
      <c r="M23" s="6"/>
    </row>
    <row r="24" customFormat="false" ht="15" hidden="false" customHeight="false" outlineLevel="0" collapsed="false">
      <c r="A24" s="6" t="s">
        <v>38</v>
      </c>
      <c r="B24" s="6" t="s">
        <v>64</v>
      </c>
      <c r="C24" s="6" t="s">
        <v>63</v>
      </c>
      <c r="D24" s="6"/>
      <c r="E24" s="6"/>
      <c r="F24" s="6" t="s">
        <v>43</v>
      </c>
      <c r="G24" s="7" t="n">
        <v>6</v>
      </c>
      <c r="H24" s="7" t="n">
        <v>0</v>
      </c>
      <c r="I24" s="7" t="n">
        <v>0</v>
      </c>
      <c r="J24" s="7" t="n">
        <f aca="false">G24-H24-I24</f>
        <v>6</v>
      </c>
      <c r="K24" s="6" t="str">
        <f aca="false">IF(J24=0,"FULL",IF(J24&lt;=2,"Hampir Penuh","Tersedia"))</f>
        <v>Tersedia</v>
      </c>
      <c r="L24" s="6"/>
      <c r="M24" s="6"/>
    </row>
    <row r="25" customFormat="false" ht="15" hidden="false" customHeight="false" outlineLevel="0" collapsed="false">
      <c r="A25" s="6" t="s">
        <v>38</v>
      </c>
      <c r="B25" s="6" t="s">
        <v>76</v>
      </c>
      <c r="C25" s="6" t="s">
        <v>40</v>
      </c>
      <c r="D25" s="6" t="s">
        <v>41</v>
      </c>
      <c r="E25" s="6" t="s">
        <v>42</v>
      </c>
      <c r="F25" s="6" t="s">
        <v>43</v>
      </c>
      <c r="G25" s="7" t="n">
        <v>6</v>
      </c>
      <c r="H25" s="7" t="n">
        <v>0</v>
      </c>
      <c r="I25" s="7" t="n">
        <v>6</v>
      </c>
      <c r="J25" s="7" t="n">
        <f aca="false">G25-H25-I25</f>
        <v>0</v>
      </c>
      <c r="K25" s="6" t="str">
        <f aca="false">IF(J25=0,"FULL",IF(J25&lt;=2,"Hampir Penuh","Tersedia"))</f>
        <v>FULL</v>
      </c>
      <c r="L25" s="6" t="s">
        <v>77</v>
      </c>
      <c r="M25" s="6"/>
    </row>
    <row r="26" customFormat="false" ht="15" hidden="false" customHeight="false" outlineLevel="0" collapsed="false">
      <c r="A26" s="6" t="s">
        <v>38</v>
      </c>
      <c r="B26" s="6" t="s">
        <v>76</v>
      </c>
      <c r="C26" s="6" t="s">
        <v>45</v>
      </c>
      <c r="D26" s="6" t="s">
        <v>46</v>
      </c>
      <c r="E26" s="6" t="s">
        <v>42</v>
      </c>
      <c r="F26" s="6" t="s">
        <v>43</v>
      </c>
      <c r="G26" s="7" t="n">
        <v>6</v>
      </c>
      <c r="H26" s="7" t="n">
        <v>0</v>
      </c>
      <c r="I26" s="7" t="n">
        <v>5</v>
      </c>
      <c r="J26" s="7" t="n">
        <f aca="false">G26-H26-I26</f>
        <v>1</v>
      </c>
      <c r="K26" s="6" t="str">
        <f aca="false">IF(J26=0,"FULL",IF(J26&lt;=2,"Hampir Penuh","Tersedia"))</f>
        <v>Hampir Penuh</v>
      </c>
      <c r="L26" s="6" t="s">
        <v>78</v>
      </c>
      <c r="M26" s="6"/>
    </row>
    <row r="27" customFormat="false" ht="15" hidden="false" customHeight="false" outlineLevel="0" collapsed="false">
      <c r="A27" s="6" t="s">
        <v>38</v>
      </c>
      <c r="B27" s="6" t="s">
        <v>76</v>
      </c>
      <c r="C27" s="6" t="s">
        <v>48</v>
      </c>
      <c r="D27" s="6" t="s">
        <v>57</v>
      </c>
      <c r="E27" s="6" t="s">
        <v>42</v>
      </c>
      <c r="F27" s="6" t="s">
        <v>43</v>
      </c>
      <c r="G27" s="7" t="n">
        <v>6</v>
      </c>
      <c r="H27" s="7" t="n">
        <v>0</v>
      </c>
      <c r="I27" s="7" t="n">
        <v>4</v>
      </c>
      <c r="J27" s="7" t="n">
        <f aca="false">G27-H27-I27</f>
        <v>2</v>
      </c>
      <c r="K27" s="6" t="str">
        <f aca="false">IF(J27=0,"FULL",IF(J27&lt;=2,"Hampir Penuh","Tersedia"))</f>
        <v>Hampir Penuh</v>
      </c>
      <c r="L27" s="6" t="s">
        <v>79</v>
      </c>
      <c r="M27" s="6"/>
    </row>
    <row r="28" customFormat="false" ht="15" hidden="false" customHeight="false" outlineLevel="0" collapsed="false">
      <c r="A28" s="6" t="s">
        <v>38</v>
      </c>
      <c r="B28" s="6" t="s">
        <v>76</v>
      </c>
      <c r="C28" s="6" t="s">
        <v>51</v>
      </c>
      <c r="D28" s="6" t="s">
        <v>59</v>
      </c>
      <c r="E28" s="6" t="s">
        <v>42</v>
      </c>
      <c r="F28" s="6" t="s">
        <v>43</v>
      </c>
      <c r="G28" s="7" t="n">
        <v>6</v>
      </c>
      <c r="H28" s="7" t="n">
        <v>0</v>
      </c>
      <c r="I28" s="7" t="n">
        <v>6</v>
      </c>
      <c r="J28" s="7" t="n">
        <f aca="false">G28-H28-I28</f>
        <v>0</v>
      </c>
      <c r="K28" s="6" t="str">
        <f aca="false">IF(J28=0,"FULL",IF(J28&lt;=2,"Hampir Penuh","Tersedia"))</f>
        <v>FULL</v>
      </c>
      <c r="L28" s="6" t="s">
        <v>80</v>
      </c>
      <c r="M28" s="6"/>
    </row>
    <row r="29" customFormat="false" ht="15" hidden="false" customHeight="false" outlineLevel="0" collapsed="false">
      <c r="A29" s="6" t="s">
        <v>38</v>
      </c>
      <c r="B29" s="6" t="s">
        <v>76</v>
      </c>
      <c r="C29" s="6" t="s">
        <v>54</v>
      </c>
      <c r="D29" s="6"/>
      <c r="E29" s="6" t="s">
        <v>42</v>
      </c>
      <c r="F29" s="6" t="s">
        <v>43</v>
      </c>
      <c r="G29" s="7" t="n">
        <v>6</v>
      </c>
      <c r="H29" s="7" t="n">
        <v>0</v>
      </c>
      <c r="I29" s="7" t="n">
        <v>0</v>
      </c>
      <c r="J29" s="7" t="n">
        <f aca="false">G29-H29-I29</f>
        <v>6</v>
      </c>
      <c r="K29" s="6" t="str">
        <f aca="false">IF(J29=0,"FULL",IF(J29&lt;=2,"Hampir Penuh","Tersedia"))</f>
        <v>Tersedia</v>
      </c>
      <c r="L29" s="6"/>
      <c r="M29" s="6"/>
    </row>
    <row r="30" customFormat="false" ht="15" hidden="false" customHeight="false" outlineLevel="0" collapsed="false">
      <c r="A30" s="6" t="s">
        <v>38</v>
      </c>
      <c r="B30" s="6" t="s">
        <v>76</v>
      </c>
      <c r="C30" s="6" t="s">
        <v>56</v>
      </c>
      <c r="D30" s="6"/>
      <c r="E30" s="6"/>
      <c r="F30" s="6" t="s">
        <v>43</v>
      </c>
      <c r="G30" s="7" t="n">
        <v>6</v>
      </c>
      <c r="H30" s="7" t="n">
        <v>0</v>
      </c>
      <c r="I30" s="7" t="n">
        <v>0</v>
      </c>
      <c r="J30" s="7" t="n">
        <f aca="false">G30-H30-I30</f>
        <v>6</v>
      </c>
      <c r="K30" s="6" t="str">
        <f aca="false">IF(J30=0,"FULL",IF(J30&lt;=2,"Hampir Penuh","Tersedia"))</f>
        <v>Tersedia</v>
      </c>
      <c r="L30" s="6"/>
      <c r="M30" s="6"/>
    </row>
    <row r="31" customFormat="false" ht="15" hidden="false" customHeight="false" outlineLevel="0" collapsed="false">
      <c r="A31" s="6" t="s">
        <v>38</v>
      </c>
      <c r="B31" s="6" t="s">
        <v>76</v>
      </c>
      <c r="C31" s="6" t="s">
        <v>58</v>
      </c>
      <c r="D31" s="6"/>
      <c r="E31" s="6"/>
      <c r="F31" s="6" t="s">
        <v>43</v>
      </c>
      <c r="G31" s="7" t="n">
        <v>6</v>
      </c>
      <c r="H31" s="7" t="n">
        <v>0</v>
      </c>
      <c r="I31" s="7" t="n">
        <v>0</v>
      </c>
      <c r="J31" s="7" t="n">
        <f aca="false">G31-H31-I31</f>
        <v>6</v>
      </c>
      <c r="K31" s="6" t="str">
        <f aca="false">IF(J31=0,"FULL",IF(J31&lt;=2,"Hampir Penuh","Tersedia"))</f>
        <v>Tersedia</v>
      </c>
      <c r="L31" s="6"/>
      <c r="M31" s="6"/>
    </row>
    <row r="32" customFormat="false" ht="15" hidden="false" customHeight="false" outlineLevel="0" collapsed="false">
      <c r="A32" s="6" t="s">
        <v>38</v>
      </c>
      <c r="B32" s="6" t="s">
        <v>76</v>
      </c>
      <c r="C32" s="6" t="s">
        <v>60</v>
      </c>
      <c r="D32" s="6"/>
      <c r="E32" s="6"/>
      <c r="F32" s="6" t="s">
        <v>43</v>
      </c>
      <c r="G32" s="7" t="n">
        <v>6</v>
      </c>
      <c r="H32" s="7" t="n">
        <v>0</v>
      </c>
      <c r="I32" s="7" t="n">
        <v>0</v>
      </c>
      <c r="J32" s="7" t="n">
        <f aca="false">G32-H32-I32</f>
        <v>6</v>
      </c>
      <c r="K32" s="6" t="str">
        <f aca="false">IF(J32=0,"FULL",IF(J32&lt;=2,"Hampir Penuh","Tersedia"))</f>
        <v>Tersedia</v>
      </c>
      <c r="L32" s="6"/>
      <c r="M32" s="6"/>
    </row>
    <row r="33" customFormat="false" ht="15" hidden="false" customHeight="false" outlineLevel="0" collapsed="false">
      <c r="A33" s="6" t="s">
        <v>38</v>
      </c>
      <c r="B33" s="6" t="s">
        <v>76</v>
      </c>
      <c r="C33" s="6" t="s">
        <v>62</v>
      </c>
      <c r="D33" s="6"/>
      <c r="E33" s="6"/>
      <c r="F33" s="6" t="s">
        <v>43</v>
      </c>
      <c r="G33" s="7" t="n">
        <v>6</v>
      </c>
      <c r="H33" s="7" t="n">
        <v>0</v>
      </c>
      <c r="I33" s="7" t="n">
        <v>0</v>
      </c>
      <c r="J33" s="7" t="n">
        <f aca="false">G33-H33-I33</f>
        <v>6</v>
      </c>
      <c r="K33" s="6" t="str">
        <f aca="false">IF(J33=0,"FULL",IF(J33&lt;=2,"Hampir Penuh","Tersedia"))</f>
        <v>Tersedia</v>
      </c>
      <c r="L33" s="6"/>
      <c r="M33" s="6"/>
    </row>
    <row r="34" customFormat="false" ht="15" hidden="false" customHeight="false" outlineLevel="0" collapsed="false">
      <c r="A34" s="6" t="s">
        <v>38</v>
      </c>
      <c r="B34" s="6" t="s">
        <v>76</v>
      </c>
      <c r="C34" s="6" t="s">
        <v>63</v>
      </c>
      <c r="D34" s="6"/>
      <c r="E34" s="6"/>
      <c r="F34" s="6" t="s">
        <v>43</v>
      </c>
      <c r="G34" s="7" t="n">
        <v>6</v>
      </c>
      <c r="H34" s="7" t="n">
        <v>0</v>
      </c>
      <c r="I34" s="7" t="n">
        <v>0</v>
      </c>
      <c r="J34" s="7" t="n">
        <f aca="false">G34-H34-I34</f>
        <v>6</v>
      </c>
      <c r="K34" s="6" t="str">
        <f aca="false">IF(J34=0,"FULL",IF(J34&lt;=2,"Hampir Penuh","Tersedia"))</f>
        <v>Tersedia</v>
      </c>
      <c r="L34" s="6"/>
      <c r="M34" s="6"/>
    </row>
    <row r="35" customFormat="false" ht="15" hidden="false" customHeight="false" outlineLevel="0" collapsed="false">
      <c r="A35" s="6" t="s">
        <v>38</v>
      </c>
      <c r="B35" s="6" t="s">
        <v>81</v>
      </c>
      <c r="C35" s="6" t="s">
        <v>40</v>
      </c>
      <c r="D35" s="6" t="s">
        <v>41</v>
      </c>
      <c r="E35" s="6" t="s">
        <v>42</v>
      </c>
      <c r="F35" s="6" t="s">
        <v>43</v>
      </c>
      <c r="G35" s="7" t="n">
        <v>6</v>
      </c>
      <c r="H35" s="7" t="n">
        <v>0</v>
      </c>
      <c r="I35" s="7" t="n">
        <v>3</v>
      </c>
      <c r="J35" s="7" t="n">
        <f aca="false">G35-H35-I35</f>
        <v>3</v>
      </c>
      <c r="K35" s="6" t="str">
        <f aca="false">IF(J35=0,"FULL",IF(J35&lt;=2,"Hampir Penuh","Tersedia"))</f>
        <v>Tersedia</v>
      </c>
      <c r="L35" s="6" t="s">
        <v>82</v>
      </c>
      <c r="M35" s="6"/>
    </row>
    <row r="36" customFormat="false" ht="15" hidden="false" customHeight="false" outlineLevel="0" collapsed="false">
      <c r="A36" s="6" t="s">
        <v>38</v>
      </c>
      <c r="B36" s="6" t="s">
        <v>81</v>
      </c>
      <c r="C36" s="6" t="s">
        <v>45</v>
      </c>
      <c r="D36" s="6" t="s">
        <v>46</v>
      </c>
      <c r="E36" s="6" t="s">
        <v>42</v>
      </c>
      <c r="F36" s="6" t="s">
        <v>83</v>
      </c>
      <c r="G36" s="7" t="n">
        <v>6</v>
      </c>
      <c r="H36" s="7" t="n">
        <v>0</v>
      </c>
      <c r="I36" s="7" t="n">
        <v>6</v>
      </c>
      <c r="J36" s="7" t="n">
        <f aca="false">G36-H36-I36</f>
        <v>0</v>
      </c>
      <c r="K36" s="6" t="str">
        <f aca="false">IF(J36=0,"FULL",IF(J36&lt;=2,"Hampir Penuh","Tersedia"))</f>
        <v>FULL</v>
      </c>
      <c r="L36" s="6" t="s">
        <v>84</v>
      </c>
      <c r="M36" s="6"/>
    </row>
    <row r="37" customFormat="false" ht="15" hidden="false" customHeight="false" outlineLevel="0" collapsed="false">
      <c r="A37" s="6" t="s">
        <v>38</v>
      </c>
      <c r="B37" s="6" t="s">
        <v>81</v>
      </c>
      <c r="C37" s="6" t="s">
        <v>48</v>
      </c>
      <c r="D37" s="6" t="s">
        <v>49</v>
      </c>
      <c r="E37" s="6" t="s">
        <v>42</v>
      </c>
      <c r="F37" s="6" t="s">
        <v>83</v>
      </c>
      <c r="G37" s="7" t="n">
        <v>6</v>
      </c>
      <c r="H37" s="7" t="n">
        <v>0</v>
      </c>
      <c r="I37" s="7" t="n">
        <v>6</v>
      </c>
      <c r="J37" s="7" t="n">
        <f aca="false">G37-H37-I37</f>
        <v>0</v>
      </c>
      <c r="K37" s="6" t="str">
        <f aca="false">IF(J37=0,"FULL",IF(J37&lt;=2,"Hampir Penuh","Tersedia"))</f>
        <v>FULL</v>
      </c>
      <c r="L37" s="6" t="s">
        <v>85</v>
      </c>
      <c r="M37" s="6"/>
    </row>
    <row r="38" customFormat="false" ht="15" hidden="false" customHeight="false" outlineLevel="0" collapsed="false">
      <c r="A38" s="6" t="s">
        <v>38</v>
      </c>
      <c r="B38" s="6" t="s">
        <v>81</v>
      </c>
      <c r="C38" s="6" t="s">
        <v>51</v>
      </c>
      <c r="D38" s="6" t="s">
        <v>57</v>
      </c>
      <c r="E38" s="6" t="s">
        <v>42</v>
      </c>
      <c r="F38" s="6" t="s">
        <v>43</v>
      </c>
      <c r="G38" s="7" t="n">
        <v>6</v>
      </c>
      <c r="H38" s="7" t="n">
        <v>0</v>
      </c>
      <c r="I38" s="7" t="n">
        <v>6</v>
      </c>
      <c r="J38" s="7" t="n">
        <f aca="false">G38-H38-I38</f>
        <v>0</v>
      </c>
      <c r="K38" s="6" t="str">
        <f aca="false">IF(J38=0,"FULL",IF(J38&lt;=2,"Hampir Penuh","Tersedia"))</f>
        <v>FULL</v>
      </c>
      <c r="L38" s="6" t="s">
        <v>86</v>
      </c>
      <c r="M38" s="6"/>
    </row>
    <row r="39" customFormat="false" ht="15" hidden="false" customHeight="false" outlineLevel="0" collapsed="false">
      <c r="A39" s="6" t="s">
        <v>38</v>
      </c>
      <c r="B39" s="6" t="s">
        <v>81</v>
      </c>
      <c r="C39" s="6" t="s">
        <v>54</v>
      </c>
      <c r="D39" s="6" t="s">
        <v>59</v>
      </c>
      <c r="E39" s="6" t="s">
        <v>42</v>
      </c>
      <c r="F39" s="6" t="s">
        <v>43</v>
      </c>
      <c r="G39" s="7" t="n">
        <v>6</v>
      </c>
      <c r="H39" s="7" t="n">
        <v>0</v>
      </c>
      <c r="I39" s="7" t="n">
        <v>6</v>
      </c>
      <c r="J39" s="7" t="n">
        <f aca="false">G39-H39-I39</f>
        <v>0</v>
      </c>
      <c r="K39" s="6" t="str">
        <f aca="false">IF(J39=0,"FULL",IF(J39&lt;=2,"Hampir Penuh","Tersedia"))</f>
        <v>FULL</v>
      </c>
      <c r="L39" s="6" t="s">
        <v>87</v>
      </c>
      <c r="M39" s="6"/>
    </row>
    <row r="40" customFormat="false" ht="15" hidden="false" customHeight="false" outlineLevel="0" collapsed="false">
      <c r="A40" s="6" t="s">
        <v>38</v>
      </c>
      <c r="B40" s="6" t="s">
        <v>81</v>
      </c>
      <c r="C40" s="6" t="s">
        <v>56</v>
      </c>
      <c r="D40" s="6"/>
      <c r="E40" s="6"/>
      <c r="F40" s="6" t="s">
        <v>43</v>
      </c>
      <c r="G40" s="7" t="n">
        <v>6</v>
      </c>
      <c r="H40" s="7" t="n">
        <v>0</v>
      </c>
      <c r="I40" s="7" t="n">
        <v>0</v>
      </c>
      <c r="J40" s="7" t="n">
        <f aca="false">G40-H40-I40</f>
        <v>6</v>
      </c>
      <c r="K40" s="6" t="str">
        <f aca="false">IF(J40=0,"FULL",IF(J40&lt;=2,"Hampir Penuh","Tersedia"))</f>
        <v>Tersedia</v>
      </c>
      <c r="L40" s="6"/>
      <c r="M40" s="6"/>
    </row>
    <row r="41" customFormat="false" ht="15" hidden="false" customHeight="false" outlineLevel="0" collapsed="false">
      <c r="A41" s="6" t="s">
        <v>38</v>
      </c>
      <c r="B41" s="6" t="s">
        <v>81</v>
      </c>
      <c r="C41" s="6" t="s">
        <v>58</v>
      </c>
      <c r="D41" s="6"/>
      <c r="E41" s="6"/>
      <c r="F41" s="6" t="s">
        <v>43</v>
      </c>
      <c r="G41" s="7" t="n">
        <v>6</v>
      </c>
      <c r="H41" s="7" t="n">
        <v>0</v>
      </c>
      <c r="I41" s="7" t="n">
        <v>0</v>
      </c>
      <c r="J41" s="7" t="n">
        <f aca="false">G41-H41-I41</f>
        <v>6</v>
      </c>
      <c r="K41" s="6" t="str">
        <f aca="false">IF(J41=0,"FULL",IF(J41&lt;=2,"Hampir Penuh","Tersedia"))</f>
        <v>Tersedia</v>
      </c>
      <c r="L41" s="6"/>
      <c r="M41" s="6"/>
    </row>
    <row r="42" customFormat="false" ht="15" hidden="false" customHeight="false" outlineLevel="0" collapsed="false">
      <c r="A42" s="6" t="s">
        <v>38</v>
      </c>
      <c r="B42" s="6" t="s">
        <v>81</v>
      </c>
      <c r="C42" s="6" t="s">
        <v>60</v>
      </c>
      <c r="D42" s="6"/>
      <c r="E42" s="6"/>
      <c r="F42" s="6" t="s">
        <v>43</v>
      </c>
      <c r="G42" s="7" t="n">
        <v>6</v>
      </c>
      <c r="H42" s="7" t="n">
        <v>0</v>
      </c>
      <c r="I42" s="7" t="n">
        <v>0</v>
      </c>
      <c r="J42" s="7" t="n">
        <f aca="false">G42-H42-I42</f>
        <v>6</v>
      </c>
      <c r="K42" s="6" t="str">
        <f aca="false">IF(J42=0,"FULL",IF(J42&lt;=2,"Hampir Penuh","Tersedia"))</f>
        <v>Tersedia</v>
      </c>
      <c r="L42" s="6"/>
      <c r="M42" s="6"/>
    </row>
    <row r="43" customFormat="false" ht="15" hidden="false" customHeight="false" outlineLevel="0" collapsed="false">
      <c r="A43" s="6" t="s">
        <v>38</v>
      </c>
      <c r="B43" s="6" t="s">
        <v>81</v>
      </c>
      <c r="C43" s="6" t="s">
        <v>62</v>
      </c>
      <c r="D43" s="6"/>
      <c r="E43" s="6"/>
      <c r="F43" s="6" t="s">
        <v>43</v>
      </c>
      <c r="G43" s="7" t="n">
        <v>6</v>
      </c>
      <c r="H43" s="7" t="n">
        <v>0</v>
      </c>
      <c r="I43" s="7" t="n">
        <v>0</v>
      </c>
      <c r="J43" s="7" t="n">
        <f aca="false">G43-H43-I43</f>
        <v>6</v>
      </c>
      <c r="K43" s="6" t="str">
        <f aca="false">IF(J43=0,"FULL",IF(J43&lt;=2,"Hampir Penuh","Tersedia"))</f>
        <v>Tersedia</v>
      </c>
      <c r="L43" s="6"/>
      <c r="M43" s="6"/>
    </row>
    <row r="44" customFormat="false" ht="15" hidden="false" customHeight="false" outlineLevel="0" collapsed="false">
      <c r="A44" s="6" t="s">
        <v>38</v>
      </c>
      <c r="B44" s="6" t="s">
        <v>81</v>
      </c>
      <c r="C44" s="6" t="s">
        <v>63</v>
      </c>
      <c r="D44" s="6"/>
      <c r="E44" s="6"/>
      <c r="F44" s="6" t="s">
        <v>43</v>
      </c>
      <c r="G44" s="7" t="n">
        <v>6</v>
      </c>
      <c r="H44" s="7" t="n">
        <v>0</v>
      </c>
      <c r="I44" s="7" t="n">
        <v>0</v>
      </c>
      <c r="J44" s="7" t="n">
        <f aca="false">G44-H44-I44</f>
        <v>6</v>
      </c>
      <c r="K44" s="6" t="str">
        <f aca="false">IF(J44=0,"FULL",IF(J44&lt;=2,"Hampir Penuh","Tersedia"))</f>
        <v>Tersedia</v>
      </c>
      <c r="L44" s="6"/>
      <c r="M44" s="6"/>
    </row>
    <row r="45" customFormat="false" ht="15" hidden="false" customHeight="false" outlineLevel="0" collapsed="false">
      <c r="A45" s="6" t="s">
        <v>38</v>
      </c>
      <c r="B45" s="6" t="s">
        <v>88</v>
      </c>
      <c r="C45" s="6" t="s">
        <v>40</v>
      </c>
      <c r="D45" s="6" t="s">
        <v>41</v>
      </c>
      <c r="E45" s="6" t="s">
        <v>42</v>
      </c>
      <c r="F45" s="6" t="s">
        <v>43</v>
      </c>
      <c r="G45" s="7" t="n">
        <v>6</v>
      </c>
      <c r="H45" s="7" t="n">
        <v>0</v>
      </c>
      <c r="I45" s="7" t="n">
        <v>6</v>
      </c>
      <c r="J45" s="7" t="n">
        <f aca="false">G45-H45-I45</f>
        <v>0</v>
      </c>
      <c r="K45" s="6" t="str">
        <f aca="false">IF(J45=0,"FULL",IF(J45&lt;=2,"Hampir Penuh","Tersedia"))</f>
        <v>FULL</v>
      </c>
      <c r="L45" s="6" t="s">
        <v>89</v>
      </c>
      <c r="M45" s="6"/>
    </row>
    <row r="46" customFormat="false" ht="15" hidden="false" customHeight="false" outlineLevel="0" collapsed="false">
      <c r="A46" s="6" t="s">
        <v>38</v>
      </c>
      <c r="B46" s="6" t="s">
        <v>88</v>
      </c>
      <c r="C46" s="6" t="s">
        <v>45</v>
      </c>
      <c r="D46" s="6" t="s">
        <v>46</v>
      </c>
      <c r="E46" s="6" t="s">
        <v>42</v>
      </c>
      <c r="F46" s="6" t="s">
        <v>83</v>
      </c>
      <c r="G46" s="7" t="n">
        <v>6</v>
      </c>
      <c r="H46" s="7" t="n">
        <v>0</v>
      </c>
      <c r="I46" s="7" t="n">
        <v>6</v>
      </c>
      <c r="J46" s="7" t="n">
        <f aca="false">G46-H46-I46</f>
        <v>0</v>
      </c>
      <c r="K46" s="6" t="str">
        <f aca="false">IF(J46=0,"FULL",IF(J46&lt;=2,"Hampir Penuh","Tersedia"))</f>
        <v>FULL</v>
      </c>
      <c r="L46" s="6" t="s">
        <v>90</v>
      </c>
      <c r="M46" s="6"/>
    </row>
    <row r="47" customFormat="false" ht="15" hidden="false" customHeight="false" outlineLevel="0" collapsed="false">
      <c r="A47" s="6" t="s">
        <v>38</v>
      </c>
      <c r="B47" s="6" t="s">
        <v>88</v>
      </c>
      <c r="C47" s="6" t="s">
        <v>48</v>
      </c>
      <c r="D47" s="6" t="s">
        <v>49</v>
      </c>
      <c r="E47" s="6" t="s">
        <v>42</v>
      </c>
      <c r="F47" s="6" t="s">
        <v>83</v>
      </c>
      <c r="G47" s="7" t="n">
        <v>6</v>
      </c>
      <c r="H47" s="7" t="n">
        <v>0</v>
      </c>
      <c r="I47" s="7" t="n">
        <v>6</v>
      </c>
      <c r="J47" s="7" t="n">
        <f aca="false">G47-H47-I47</f>
        <v>0</v>
      </c>
      <c r="K47" s="6" t="str">
        <f aca="false">IF(J47=0,"FULL",IF(J47&lt;=2,"Hampir Penuh","Tersedia"))</f>
        <v>FULL</v>
      </c>
      <c r="L47" s="6" t="s">
        <v>91</v>
      </c>
      <c r="M47" s="6"/>
    </row>
    <row r="48" customFormat="false" ht="15" hidden="false" customHeight="false" outlineLevel="0" collapsed="false">
      <c r="A48" s="6" t="s">
        <v>38</v>
      </c>
      <c r="B48" s="6" t="s">
        <v>88</v>
      </c>
      <c r="C48" s="6" t="s">
        <v>51</v>
      </c>
      <c r="D48" s="6" t="s">
        <v>57</v>
      </c>
      <c r="E48" s="6" t="s">
        <v>92</v>
      </c>
      <c r="F48" s="6" t="s">
        <v>43</v>
      </c>
      <c r="G48" s="7" t="n">
        <v>6</v>
      </c>
      <c r="H48" s="7" t="n">
        <v>1</v>
      </c>
      <c r="I48" s="7" t="n">
        <v>4</v>
      </c>
      <c r="J48" s="7" t="n">
        <f aca="false">G48-H48-I48</f>
        <v>1</v>
      </c>
      <c r="K48" s="6" t="str">
        <f aca="false">IF(J48=0,"FULL",IF(J48&lt;=2,"Hampir Penuh","Tersedia"))</f>
        <v>Hampir Penuh</v>
      </c>
      <c r="L48" s="6" t="s">
        <v>93</v>
      </c>
      <c r="M48" s="6" t="s">
        <v>94</v>
      </c>
    </row>
    <row r="49" customFormat="false" ht="15" hidden="false" customHeight="false" outlineLevel="0" collapsed="false">
      <c r="A49" s="6" t="s">
        <v>38</v>
      </c>
      <c r="B49" s="6" t="s">
        <v>88</v>
      </c>
      <c r="C49" s="6" t="s">
        <v>54</v>
      </c>
      <c r="D49" s="6" t="s">
        <v>59</v>
      </c>
      <c r="E49" s="6" t="s">
        <v>92</v>
      </c>
      <c r="F49" s="6" t="s">
        <v>43</v>
      </c>
      <c r="G49" s="7" t="n">
        <v>6</v>
      </c>
      <c r="H49" s="7" t="n">
        <v>0</v>
      </c>
      <c r="I49" s="7" t="n">
        <v>2</v>
      </c>
      <c r="J49" s="7" t="n">
        <f aca="false">G49-H49-I49</f>
        <v>4</v>
      </c>
      <c r="K49" s="6" t="str">
        <f aca="false">IF(J49=0,"FULL",IF(J49&lt;=2,"Hampir Penuh","Tersedia"))</f>
        <v>Tersedia</v>
      </c>
      <c r="L49" s="6" t="s">
        <v>95</v>
      </c>
      <c r="M49" s="6"/>
    </row>
    <row r="50" customFormat="false" ht="15" hidden="false" customHeight="false" outlineLevel="0" collapsed="false">
      <c r="A50" s="6" t="s">
        <v>38</v>
      </c>
      <c r="B50" s="6" t="s">
        <v>88</v>
      </c>
      <c r="C50" s="6" t="s">
        <v>56</v>
      </c>
      <c r="D50" s="6" t="s">
        <v>61</v>
      </c>
      <c r="E50" s="6" t="s">
        <v>92</v>
      </c>
      <c r="F50" s="6" t="s">
        <v>43</v>
      </c>
      <c r="G50" s="7" t="n">
        <v>6</v>
      </c>
      <c r="H50" s="7" t="n">
        <v>0</v>
      </c>
      <c r="I50" s="7" t="n">
        <v>2</v>
      </c>
      <c r="J50" s="7" t="n">
        <f aca="false">G50-H50-I50</f>
        <v>4</v>
      </c>
      <c r="K50" s="6" t="str">
        <f aca="false">IF(J50=0,"FULL",IF(J50&lt;=2,"Hampir Penuh","Tersedia"))</f>
        <v>Tersedia</v>
      </c>
      <c r="L50" s="6" t="s">
        <v>96</v>
      </c>
      <c r="M50" s="6"/>
    </row>
    <row r="51" customFormat="false" ht="15" hidden="false" customHeight="false" outlineLevel="0" collapsed="false">
      <c r="A51" s="6" t="s">
        <v>38</v>
      </c>
      <c r="B51" s="6" t="s">
        <v>88</v>
      </c>
      <c r="C51" s="6" t="s">
        <v>58</v>
      </c>
      <c r="D51" s="6" t="s">
        <v>59</v>
      </c>
      <c r="E51" s="6"/>
      <c r="F51" s="6" t="s">
        <v>43</v>
      </c>
      <c r="G51" s="7" t="n">
        <v>6</v>
      </c>
      <c r="H51" s="7" t="n">
        <v>0</v>
      </c>
      <c r="I51" s="7" t="n">
        <v>0</v>
      </c>
      <c r="J51" s="7" t="n">
        <f aca="false">G51-H51-I51</f>
        <v>6</v>
      </c>
      <c r="K51" s="6" t="str">
        <f aca="false">IF(J51=0,"FULL",IF(J51&lt;=2,"Hampir Penuh","Tersedia"))</f>
        <v>Tersedia</v>
      </c>
      <c r="L51" s="6"/>
      <c r="M51" s="6"/>
    </row>
    <row r="52" customFormat="false" ht="15" hidden="false" customHeight="false" outlineLevel="0" collapsed="false">
      <c r="A52" s="6" t="s">
        <v>38</v>
      </c>
      <c r="B52" s="6" t="s">
        <v>88</v>
      </c>
      <c r="C52" s="6" t="s">
        <v>60</v>
      </c>
      <c r="D52" s="6" t="s">
        <v>61</v>
      </c>
      <c r="E52" s="6"/>
      <c r="F52" s="6" t="s">
        <v>43</v>
      </c>
      <c r="G52" s="7" t="n">
        <v>6</v>
      </c>
      <c r="H52" s="7" t="n">
        <v>0</v>
      </c>
      <c r="I52" s="7" t="n">
        <v>0</v>
      </c>
      <c r="J52" s="7" t="n">
        <f aca="false">G52-H52-I52</f>
        <v>6</v>
      </c>
      <c r="K52" s="6" t="str">
        <f aca="false">IF(J52=0,"FULL",IF(J52&lt;=2,"Hampir Penuh","Tersedia"))</f>
        <v>Tersedia</v>
      </c>
      <c r="L52" s="6"/>
      <c r="M52" s="6"/>
    </row>
    <row r="53" customFormat="false" ht="15" hidden="false" customHeight="false" outlineLevel="0" collapsed="false">
      <c r="A53" s="6" t="s">
        <v>38</v>
      </c>
      <c r="B53" s="6" t="s">
        <v>88</v>
      </c>
      <c r="C53" s="6" t="s">
        <v>62</v>
      </c>
      <c r="D53" s="6"/>
      <c r="E53" s="6"/>
      <c r="F53" s="6" t="s">
        <v>43</v>
      </c>
      <c r="G53" s="7" t="n">
        <v>6</v>
      </c>
      <c r="H53" s="7" t="n">
        <v>0</v>
      </c>
      <c r="I53" s="7" t="n">
        <v>0</v>
      </c>
      <c r="J53" s="7" t="n">
        <f aca="false">G53-H53-I53</f>
        <v>6</v>
      </c>
      <c r="K53" s="6" t="str">
        <f aca="false">IF(J53=0,"FULL",IF(J53&lt;=2,"Hampir Penuh","Tersedia"))</f>
        <v>Tersedia</v>
      </c>
      <c r="L53" s="6"/>
      <c r="M53" s="6"/>
    </row>
    <row r="54" customFormat="false" ht="15" hidden="false" customHeight="false" outlineLevel="0" collapsed="false">
      <c r="A54" s="6" t="s">
        <v>38</v>
      </c>
      <c r="B54" s="6" t="s">
        <v>88</v>
      </c>
      <c r="C54" s="6" t="s">
        <v>63</v>
      </c>
      <c r="D54" s="6"/>
      <c r="E54" s="6"/>
      <c r="F54" s="6" t="s">
        <v>43</v>
      </c>
      <c r="G54" s="7" t="n">
        <v>6</v>
      </c>
      <c r="H54" s="7" t="n">
        <v>0</v>
      </c>
      <c r="I54" s="7" t="n">
        <v>0</v>
      </c>
      <c r="J54" s="7" t="n">
        <f aca="false">G54-H54-I54</f>
        <v>6</v>
      </c>
      <c r="K54" s="6" t="str">
        <f aca="false">IF(J54=0,"FULL",IF(J54&lt;=2,"Hampir Penuh","Tersedia"))</f>
        <v>Tersedia</v>
      </c>
      <c r="L54" s="6"/>
      <c r="M54" s="6"/>
    </row>
    <row r="55" customFormat="false" ht="15" hidden="false" customHeight="false" outlineLevel="0" collapsed="false">
      <c r="A55" s="6" t="s">
        <v>38</v>
      </c>
      <c r="B55" s="6" t="s">
        <v>97</v>
      </c>
      <c r="C55" s="6" t="s">
        <v>40</v>
      </c>
      <c r="D55" s="6" t="s">
        <v>41</v>
      </c>
      <c r="E55" s="6" t="s">
        <v>92</v>
      </c>
      <c r="F55" s="6" t="s">
        <v>43</v>
      </c>
      <c r="G55" s="7" t="n">
        <v>6</v>
      </c>
      <c r="H55" s="7" t="n">
        <v>0</v>
      </c>
      <c r="I55" s="7" t="n">
        <v>2</v>
      </c>
      <c r="J55" s="7" t="n">
        <f aca="false">G55-H55-I55</f>
        <v>4</v>
      </c>
      <c r="K55" s="6" t="str">
        <f aca="false">IF(J55=0,"FULL",IF(J55&lt;=2,"Hampir Penuh","Tersedia"))</f>
        <v>Tersedia</v>
      </c>
      <c r="L55" s="6" t="s">
        <v>98</v>
      </c>
      <c r="M55" s="6"/>
    </row>
    <row r="56" customFormat="false" ht="15" hidden="false" customHeight="false" outlineLevel="0" collapsed="false">
      <c r="A56" s="6" t="s">
        <v>38</v>
      </c>
      <c r="B56" s="6" t="s">
        <v>97</v>
      </c>
      <c r="C56" s="6" t="s">
        <v>45</v>
      </c>
      <c r="D56" s="6" t="s">
        <v>46</v>
      </c>
      <c r="E56" s="6" t="s">
        <v>92</v>
      </c>
      <c r="F56" s="6" t="s">
        <v>99</v>
      </c>
      <c r="G56" s="7" t="n">
        <v>6</v>
      </c>
      <c r="H56" s="7" t="n">
        <v>0</v>
      </c>
      <c r="I56" s="7" t="n">
        <v>5</v>
      </c>
      <c r="J56" s="7" t="n">
        <f aca="false">G56-H56-I56</f>
        <v>1</v>
      </c>
      <c r="K56" s="6" t="str">
        <f aca="false">IF(J56=0,"FULL",IF(J56&lt;=2,"Hampir Penuh","Tersedia"))</f>
        <v>Hampir Penuh</v>
      </c>
      <c r="L56" s="6" t="s">
        <v>100</v>
      </c>
      <c r="M56" s="6"/>
    </row>
    <row r="57" customFormat="false" ht="15" hidden="false" customHeight="false" outlineLevel="0" collapsed="false">
      <c r="A57" s="6" t="s">
        <v>38</v>
      </c>
      <c r="B57" s="6" t="s">
        <v>97</v>
      </c>
      <c r="C57" s="6" t="s">
        <v>48</v>
      </c>
      <c r="D57" s="6" t="s">
        <v>49</v>
      </c>
      <c r="E57" s="6" t="s">
        <v>92</v>
      </c>
      <c r="F57" s="6" t="s">
        <v>43</v>
      </c>
      <c r="G57" s="7" t="n">
        <v>6</v>
      </c>
      <c r="H57" s="7" t="n">
        <v>0</v>
      </c>
      <c r="I57" s="7" t="n">
        <v>6</v>
      </c>
      <c r="J57" s="7" t="n">
        <f aca="false">G57-H57-I57</f>
        <v>0</v>
      </c>
      <c r="K57" s="6" t="str">
        <f aca="false">IF(J57=0,"FULL",IF(J57&lt;=2,"Hampir Penuh","Tersedia"))</f>
        <v>FULL</v>
      </c>
      <c r="L57" s="6" t="s">
        <v>101</v>
      </c>
      <c r="M57" s="6"/>
    </row>
    <row r="58" customFormat="false" ht="15" hidden="false" customHeight="false" outlineLevel="0" collapsed="false">
      <c r="A58" s="6" t="s">
        <v>38</v>
      </c>
      <c r="B58" s="6" t="s">
        <v>97</v>
      </c>
      <c r="C58" s="6" t="s">
        <v>51</v>
      </c>
      <c r="D58" s="6" t="s">
        <v>57</v>
      </c>
      <c r="E58" s="6" t="s">
        <v>42</v>
      </c>
      <c r="F58" s="6" t="s">
        <v>43</v>
      </c>
      <c r="G58" s="7" t="n">
        <v>6</v>
      </c>
      <c r="H58" s="7" t="n">
        <v>0</v>
      </c>
      <c r="I58" s="7" t="n">
        <v>0</v>
      </c>
      <c r="J58" s="7" t="n">
        <f aca="false">G58-H58-I58</f>
        <v>6</v>
      </c>
      <c r="K58" s="6" t="str">
        <f aca="false">IF(J58=0,"FULL",IF(J58&lt;=2,"Hampir Penuh","Tersedia"))</f>
        <v>Tersedia</v>
      </c>
      <c r="L58" s="6"/>
      <c r="M58" s="6"/>
    </row>
    <row r="59" customFormat="false" ht="15" hidden="false" customHeight="false" outlineLevel="0" collapsed="false">
      <c r="A59" s="6" t="s">
        <v>38</v>
      </c>
      <c r="B59" s="6" t="s">
        <v>97</v>
      </c>
      <c r="C59" s="6" t="s">
        <v>54</v>
      </c>
      <c r="D59" s="6" t="s">
        <v>59</v>
      </c>
      <c r="E59" s="6" t="s">
        <v>42</v>
      </c>
      <c r="F59" s="6" t="s">
        <v>43</v>
      </c>
      <c r="G59" s="7" t="n">
        <v>6</v>
      </c>
      <c r="H59" s="7" t="n">
        <v>0</v>
      </c>
      <c r="I59" s="7" t="n">
        <v>0</v>
      </c>
      <c r="J59" s="7" t="n">
        <f aca="false">G59-H59-I59</f>
        <v>6</v>
      </c>
      <c r="K59" s="6" t="str">
        <f aca="false">IF(J59=0,"FULL",IF(J59&lt;=2,"Hampir Penuh","Tersedia"))</f>
        <v>Tersedia</v>
      </c>
      <c r="L59" s="6"/>
      <c r="M59" s="6"/>
    </row>
    <row r="60" customFormat="false" ht="15" hidden="false" customHeight="false" outlineLevel="0" collapsed="false">
      <c r="A60" s="6" t="s">
        <v>38</v>
      </c>
      <c r="B60" s="6" t="s">
        <v>97</v>
      </c>
      <c r="C60" s="6" t="s">
        <v>56</v>
      </c>
      <c r="D60" s="6" t="s">
        <v>61</v>
      </c>
      <c r="E60" s="6" t="s">
        <v>42</v>
      </c>
      <c r="F60" s="6" t="s">
        <v>43</v>
      </c>
      <c r="G60" s="7" t="n">
        <v>6</v>
      </c>
      <c r="H60" s="7" t="n">
        <v>0</v>
      </c>
      <c r="I60" s="7" t="n">
        <v>0</v>
      </c>
      <c r="J60" s="7" t="n">
        <f aca="false">G60-H60-I60</f>
        <v>6</v>
      </c>
      <c r="K60" s="6" t="str">
        <f aca="false">IF(J60=0,"FULL",IF(J60&lt;=2,"Hampir Penuh","Tersedia"))</f>
        <v>Tersedia</v>
      </c>
      <c r="L60" s="6"/>
      <c r="M60" s="6"/>
    </row>
    <row r="61" customFormat="false" ht="15" hidden="false" customHeight="false" outlineLevel="0" collapsed="false">
      <c r="A61" s="6" t="s">
        <v>38</v>
      </c>
      <c r="B61" s="6" t="s">
        <v>97</v>
      </c>
      <c r="C61" s="6" t="s">
        <v>58</v>
      </c>
      <c r="D61" s="6" t="s">
        <v>59</v>
      </c>
      <c r="E61" s="6"/>
      <c r="F61" s="6" t="s">
        <v>43</v>
      </c>
      <c r="G61" s="7" t="n">
        <v>6</v>
      </c>
      <c r="H61" s="7" t="n">
        <v>0</v>
      </c>
      <c r="I61" s="7" t="n">
        <v>0</v>
      </c>
      <c r="J61" s="7" t="n">
        <f aca="false">G61-H61-I61</f>
        <v>6</v>
      </c>
      <c r="K61" s="6" t="str">
        <f aca="false">IF(J61=0,"FULL",IF(J61&lt;=2,"Hampir Penuh","Tersedia"))</f>
        <v>Tersedia</v>
      </c>
      <c r="L61" s="6"/>
      <c r="M61" s="6"/>
    </row>
    <row r="62" customFormat="false" ht="15" hidden="false" customHeight="false" outlineLevel="0" collapsed="false">
      <c r="A62" s="6" t="s">
        <v>38</v>
      </c>
      <c r="B62" s="6" t="s">
        <v>97</v>
      </c>
      <c r="C62" s="6" t="s">
        <v>60</v>
      </c>
      <c r="D62" s="6" t="s">
        <v>61</v>
      </c>
      <c r="E62" s="6"/>
      <c r="F62" s="6" t="s">
        <v>43</v>
      </c>
      <c r="G62" s="7" t="n">
        <v>6</v>
      </c>
      <c r="H62" s="7" t="n">
        <v>0</v>
      </c>
      <c r="I62" s="7" t="n">
        <v>0</v>
      </c>
      <c r="J62" s="7" t="n">
        <f aca="false">G62-H62-I62</f>
        <v>6</v>
      </c>
      <c r="K62" s="6" t="str">
        <f aca="false">IF(J62=0,"FULL",IF(J62&lt;=2,"Hampir Penuh","Tersedia"))</f>
        <v>Tersedia</v>
      </c>
      <c r="L62" s="6"/>
      <c r="M62" s="6"/>
    </row>
    <row r="63" customFormat="false" ht="15" hidden="false" customHeight="false" outlineLevel="0" collapsed="false">
      <c r="A63" s="6" t="s">
        <v>38</v>
      </c>
      <c r="B63" s="6" t="s">
        <v>97</v>
      </c>
      <c r="C63" s="6" t="s">
        <v>62</v>
      </c>
      <c r="D63" s="6"/>
      <c r="E63" s="6"/>
      <c r="F63" s="6" t="s">
        <v>43</v>
      </c>
      <c r="G63" s="7" t="n">
        <v>6</v>
      </c>
      <c r="H63" s="7" t="n">
        <v>0</v>
      </c>
      <c r="I63" s="7" t="n">
        <v>0</v>
      </c>
      <c r="J63" s="7" t="n">
        <f aca="false">G63-H63-I63</f>
        <v>6</v>
      </c>
      <c r="K63" s="6" t="str">
        <f aca="false">IF(J63=0,"FULL",IF(J63&lt;=2,"Hampir Penuh","Tersedia"))</f>
        <v>Tersedia</v>
      </c>
      <c r="L63" s="6"/>
      <c r="M63" s="6"/>
    </row>
    <row r="64" customFormat="false" ht="15" hidden="false" customHeight="false" outlineLevel="0" collapsed="false">
      <c r="A64" s="6" t="s">
        <v>38</v>
      </c>
      <c r="B64" s="6" t="s">
        <v>97</v>
      </c>
      <c r="C64" s="6" t="s">
        <v>63</v>
      </c>
      <c r="D64" s="6"/>
      <c r="E64" s="6"/>
      <c r="F64" s="6" t="s">
        <v>43</v>
      </c>
      <c r="G64" s="7" t="n">
        <v>6</v>
      </c>
      <c r="H64" s="7" t="n">
        <v>0</v>
      </c>
      <c r="I64" s="7" t="n">
        <v>0</v>
      </c>
      <c r="J64" s="7" t="n">
        <f aca="false">G64-H64-I64</f>
        <v>6</v>
      </c>
      <c r="K64" s="6" t="str">
        <f aca="false">IF(J64=0,"FULL",IF(J64&lt;=2,"Hampir Penuh","Tersedia"))</f>
        <v>Tersedia</v>
      </c>
      <c r="L64" s="6"/>
      <c r="M64" s="6"/>
    </row>
    <row r="65" customFormat="false" ht="15" hidden="false" customHeight="false" outlineLevel="0" collapsed="false">
      <c r="A65" s="6" t="s">
        <v>102</v>
      </c>
      <c r="B65" s="6" t="s">
        <v>103</v>
      </c>
      <c r="C65" s="6" t="s">
        <v>40</v>
      </c>
      <c r="D65" s="6" t="s">
        <v>41</v>
      </c>
      <c r="E65" s="6" t="s">
        <v>42</v>
      </c>
      <c r="F65" s="6" t="s">
        <v>43</v>
      </c>
      <c r="G65" s="7" t="n">
        <v>6</v>
      </c>
      <c r="H65" s="7" t="n">
        <v>2</v>
      </c>
      <c r="I65" s="7" t="n">
        <v>1</v>
      </c>
      <c r="J65" s="7" t="n">
        <f aca="false">G65-H65-I65</f>
        <v>3</v>
      </c>
      <c r="K65" s="6" t="str">
        <f aca="false">IF(J65=0,"FULL",IF(J65&lt;=2,"Hampir Penuh","Tersedia"))</f>
        <v>Tersedia</v>
      </c>
      <c r="L65" s="6" t="s">
        <v>104</v>
      </c>
      <c r="M65" s="6"/>
    </row>
    <row r="66" customFormat="false" ht="15" hidden="false" customHeight="false" outlineLevel="0" collapsed="false">
      <c r="A66" s="6" t="s">
        <v>102</v>
      </c>
      <c r="B66" s="6" t="s">
        <v>103</v>
      </c>
      <c r="C66" s="6" t="s">
        <v>45</v>
      </c>
      <c r="D66" s="6" t="s">
        <v>46</v>
      </c>
      <c r="E66" s="6" t="s">
        <v>42</v>
      </c>
      <c r="F66" s="6" t="s">
        <v>43</v>
      </c>
      <c r="G66" s="7" t="n">
        <v>6</v>
      </c>
      <c r="H66" s="7" t="n">
        <v>0</v>
      </c>
      <c r="I66" s="7" t="n">
        <v>5</v>
      </c>
      <c r="J66" s="7" t="n">
        <f aca="false">G66-H66-I66</f>
        <v>1</v>
      </c>
      <c r="K66" s="6" t="str">
        <f aca="false">IF(J66=0,"FULL",IF(J66&lt;=2,"Hampir Penuh","Tersedia"))</f>
        <v>Hampir Penuh</v>
      </c>
      <c r="L66" s="6" t="s">
        <v>105</v>
      </c>
      <c r="M66" s="6"/>
    </row>
    <row r="67" customFormat="false" ht="15" hidden="false" customHeight="false" outlineLevel="0" collapsed="false">
      <c r="A67" s="6" t="s">
        <v>102</v>
      </c>
      <c r="B67" s="6" t="s">
        <v>103</v>
      </c>
      <c r="C67" s="6" t="s">
        <v>48</v>
      </c>
      <c r="D67" s="6" t="s">
        <v>49</v>
      </c>
      <c r="E67" s="6" t="s">
        <v>42</v>
      </c>
      <c r="F67" s="6" t="s">
        <v>43</v>
      </c>
      <c r="G67" s="7" t="n">
        <v>6</v>
      </c>
      <c r="H67" s="7" t="n">
        <v>1</v>
      </c>
      <c r="I67" s="7" t="n">
        <v>5</v>
      </c>
      <c r="J67" s="7" t="n">
        <f aca="false">G67-H67-I67</f>
        <v>0</v>
      </c>
      <c r="K67" s="6" t="str">
        <f aca="false">IF(J67=0,"FULL",IF(J67&lt;=2,"Hampir Penuh","Tersedia"))</f>
        <v>FULL</v>
      </c>
      <c r="L67" s="6" t="s">
        <v>106</v>
      </c>
      <c r="M67" s="6"/>
    </row>
    <row r="68" customFormat="false" ht="15" hidden="false" customHeight="false" outlineLevel="0" collapsed="false">
      <c r="A68" s="6" t="s">
        <v>102</v>
      </c>
      <c r="B68" s="6" t="s">
        <v>103</v>
      </c>
      <c r="C68" s="6" t="s">
        <v>51</v>
      </c>
      <c r="D68" s="6" t="s">
        <v>57</v>
      </c>
      <c r="E68" s="6" t="s">
        <v>42</v>
      </c>
      <c r="F68" s="6" t="s">
        <v>43</v>
      </c>
      <c r="G68" s="7" t="n">
        <v>6</v>
      </c>
      <c r="H68" s="7" t="n">
        <v>0</v>
      </c>
      <c r="I68" s="7" t="n">
        <v>0</v>
      </c>
      <c r="J68" s="7" t="n">
        <f aca="false">G68-H68-I68</f>
        <v>6</v>
      </c>
      <c r="K68" s="6" t="str">
        <f aca="false">IF(J68=0,"FULL",IF(J68&lt;=2,"Hampir Penuh","Tersedia"))</f>
        <v>Tersedia</v>
      </c>
      <c r="L68" s="6"/>
      <c r="M68" s="6"/>
    </row>
    <row r="69" customFormat="false" ht="15" hidden="false" customHeight="false" outlineLevel="0" collapsed="false">
      <c r="A69" s="6" t="s">
        <v>102</v>
      </c>
      <c r="B69" s="6" t="s">
        <v>103</v>
      </c>
      <c r="C69" s="6" t="s">
        <v>54</v>
      </c>
      <c r="D69" s="6" t="s">
        <v>59</v>
      </c>
      <c r="E69" s="6" t="s">
        <v>42</v>
      </c>
      <c r="F69" s="6" t="s">
        <v>43</v>
      </c>
      <c r="G69" s="7" t="n">
        <v>6</v>
      </c>
      <c r="H69" s="7" t="n">
        <v>1</v>
      </c>
      <c r="I69" s="7" t="n">
        <v>1</v>
      </c>
      <c r="J69" s="7" t="n">
        <f aca="false">G69-H69-I69</f>
        <v>4</v>
      </c>
      <c r="K69" s="6" t="str">
        <f aca="false">IF(J69=0,"FULL",IF(J69&lt;=2,"Hampir Penuh","Tersedia"))</f>
        <v>Tersedia</v>
      </c>
      <c r="L69" s="6" t="s">
        <v>107</v>
      </c>
      <c r="M69" s="6" t="s">
        <v>108</v>
      </c>
    </row>
    <row r="70" customFormat="false" ht="15" hidden="false" customHeight="false" outlineLevel="0" collapsed="false">
      <c r="A70" s="6" t="s">
        <v>102</v>
      </c>
      <c r="B70" s="6" t="s">
        <v>103</v>
      </c>
      <c r="C70" s="6" t="s">
        <v>56</v>
      </c>
      <c r="D70" s="6" t="s">
        <v>57</v>
      </c>
      <c r="E70" s="6"/>
      <c r="F70" s="6" t="s">
        <v>43</v>
      </c>
      <c r="G70" s="7" t="n">
        <v>6</v>
      </c>
      <c r="H70" s="7" t="n">
        <v>0</v>
      </c>
      <c r="I70" s="7" t="n">
        <v>0</v>
      </c>
      <c r="J70" s="7" t="n">
        <f aca="false">G70-H70-I70</f>
        <v>6</v>
      </c>
      <c r="K70" s="6" t="str">
        <f aca="false">IF(J70=0,"FULL",IF(J70&lt;=2,"Hampir Penuh","Tersedia"))</f>
        <v>Tersedia</v>
      </c>
      <c r="L70" s="6"/>
      <c r="M70" s="6"/>
    </row>
    <row r="71" customFormat="false" ht="15" hidden="false" customHeight="false" outlineLevel="0" collapsed="false">
      <c r="A71" s="6" t="s">
        <v>102</v>
      </c>
      <c r="B71" s="6" t="s">
        <v>103</v>
      </c>
      <c r="C71" s="6" t="s">
        <v>58</v>
      </c>
      <c r="D71" s="6" t="s">
        <v>59</v>
      </c>
      <c r="E71" s="6"/>
      <c r="F71" s="6" t="s">
        <v>43</v>
      </c>
      <c r="G71" s="7" t="n">
        <v>6</v>
      </c>
      <c r="H71" s="7" t="n">
        <v>0</v>
      </c>
      <c r="I71" s="7" t="n">
        <v>0</v>
      </c>
      <c r="J71" s="7" t="n">
        <f aca="false">G71-H71-I71</f>
        <v>6</v>
      </c>
      <c r="K71" s="6" t="str">
        <f aca="false">IF(J71=0,"FULL",IF(J71&lt;=2,"Hampir Penuh","Tersedia"))</f>
        <v>Tersedia</v>
      </c>
      <c r="L71" s="6"/>
      <c r="M71" s="6"/>
    </row>
    <row r="72" customFormat="false" ht="15" hidden="false" customHeight="false" outlineLevel="0" collapsed="false">
      <c r="A72" s="6" t="s">
        <v>102</v>
      </c>
      <c r="B72" s="6" t="s">
        <v>103</v>
      </c>
      <c r="C72" s="6" t="s">
        <v>60</v>
      </c>
      <c r="D72" s="6" t="s">
        <v>61</v>
      </c>
      <c r="E72" s="6"/>
      <c r="F72" s="6" t="s">
        <v>43</v>
      </c>
      <c r="G72" s="7" t="n">
        <v>6</v>
      </c>
      <c r="H72" s="7" t="n">
        <v>0</v>
      </c>
      <c r="I72" s="7" t="n">
        <v>0</v>
      </c>
      <c r="J72" s="7" t="n">
        <f aca="false">G72-H72-I72</f>
        <v>6</v>
      </c>
      <c r="K72" s="6" t="str">
        <f aca="false">IF(J72=0,"FULL",IF(J72&lt;=2,"Hampir Penuh","Tersedia"))</f>
        <v>Tersedia</v>
      </c>
      <c r="L72" s="6"/>
      <c r="M72" s="6"/>
    </row>
    <row r="73" customFormat="false" ht="15" hidden="false" customHeight="false" outlineLevel="0" collapsed="false">
      <c r="A73" s="6" t="s">
        <v>102</v>
      </c>
      <c r="B73" s="6" t="s">
        <v>103</v>
      </c>
      <c r="C73" s="6" t="s">
        <v>62</v>
      </c>
      <c r="D73" s="6"/>
      <c r="E73" s="6"/>
      <c r="F73" s="6" t="s">
        <v>43</v>
      </c>
      <c r="G73" s="7" t="n">
        <v>6</v>
      </c>
      <c r="H73" s="7" t="n">
        <v>0</v>
      </c>
      <c r="I73" s="7" t="n">
        <v>0</v>
      </c>
      <c r="J73" s="7" t="n">
        <f aca="false">G73-H73-I73</f>
        <v>6</v>
      </c>
      <c r="K73" s="6" t="str">
        <f aca="false">IF(J73=0,"FULL",IF(J73&lt;=2,"Hampir Penuh","Tersedia"))</f>
        <v>Tersedia</v>
      </c>
      <c r="L73" s="6"/>
      <c r="M73" s="6"/>
    </row>
    <row r="74" customFormat="false" ht="15" hidden="false" customHeight="false" outlineLevel="0" collapsed="false">
      <c r="A74" s="6" t="s">
        <v>102</v>
      </c>
      <c r="B74" s="6" t="s">
        <v>103</v>
      </c>
      <c r="C74" s="6" t="s">
        <v>63</v>
      </c>
      <c r="D74" s="6"/>
      <c r="E74" s="6"/>
      <c r="F74" s="6" t="s">
        <v>43</v>
      </c>
      <c r="G74" s="7" t="n">
        <v>6</v>
      </c>
      <c r="H74" s="7" t="n">
        <v>0</v>
      </c>
      <c r="I74" s="7" t="n">
        <v>0</v>
      </c>
      <c r="J74" s="7" t="n">
        <f aca="false">G74-H74-I74</f>
        <v>6</v>
      </c>
      <c r="K74" s="6" t="str">
        <f aca="false">IF(J74=0,"FULL",IF(J74&lt;=2,"Hampir Penuh","Tersedia"))</f>
        <v>Tersedia</v>
      </c>
      <c r="L74" s="6"/>
      <c r="M74" s="6"/>
    </row>
    <row r="75" customFormat="false" ht="15" hidden="false" customHeight="false" outlineLevel="0" collapsed="false">
      <c r="A75" s="6" t="s">
        <v>102</v>
      </c>
      <c r="B75" s="6" t="s">
        <v>109</v>
      </c>
      <c r="C75" s="6" t="s">
        <v>40</v>
      </c>
      <c r="D75" s="6" t="s">
        <v>65</v>
      </c>
      <c r="E75" s="6" t="s">
        <v>66</v>
      </c>
      <c r="F75" s="6" t="s">
        <v>43</v>
      </c>
      <c r="G75" s="7" t="n">
        <v>6</v>
      </c>
      <c r="H75" s="7" t="n">
        <v>0</v>
      </c>
      <c r="I75" s="7" t="n">
        <v>1</v>
      </c>
      <c r="J75" s="7" t="n">
        <f aca="false">G75-H75-I75</f>
        <v>5</v>
      </c>
      <c r="K75" s="6" t="str">
        <f aca="false">IF(J75=0,"FULL",IF(J75&lt;=2,"Hampir Penuh","Tersedia"))</f>
        <v>Tersedia</v>
      </c>
      <c r="L75" s="6" t="s">
        <v>110</v>
      </c>
      <c r="M75" s="6"/>
    </row>
    <row r="76" customFormat="false" ht="15" hidden="false" customHeight="false" outlineLevel="0" collapsed="false">
      <c r="A76" s="6" t="s">
        <v>102</v>
      </c>
      <c r="B76" s="6" t="s">
        <v>109</v>
      </c>
      <c r="C76" s="6" t="s">
        <v>45</v>
      </c>
      <c r="D76" s="6" t="s">
        <v>68</v>
      </c>
      <c r="E76" s="6" t="s">
        <v>66</v>
      </c>
      <c r="F76" s="6" t="s">
        <v>43</v>
      </c>
      <c r="G76" s="7" t="n">
        <v>6</v>
      </c>
      <c r="H76" s="7" t="n">
        <v>0</v>
      </c>
      <c r="I76" s="7" t="n">
        <v>2</v>
      </c>
      <c r="J76" s="7" t="n">
        <f aca="false">G76-H76-I76</f>
        <v>4</v>
      </c>
      <c r="K76" s="6" t="str">
        <f aca="false">IF(J76=0,"FULL",IF(J76&lt;=2,"Hampir Penuh","Tersedia"))</f>
        <v>Tersedia</v>
      </c>
      <c r="L76" s="6" t="s">
        <v>111</v>
      </c>
      <c r="M76" s="6"/>
    </row>
    <row r="77" customFormat="false" ht="15" hidden="false" customHeight="false" outlineLevel="0" collapsed="false">
      <c r="A77" s="6" t="s">
        <v>102</v>
      </c>
      <c r="B77" s="6" t="s">
        <v>109</v>
      </c>
      <c r="C77" s="6" t="s">
        <v>48</v>
      </c>
      <c r="D77" s="6" t="s">
        <v>70</v>
      </c>
      <c r="E77" s="6" t="s">
        <v>66</v>
      </c>
      <c r="F77" s="6" t="s">
        <v>43</v>
      </c>
      <c r="G77" s="7" t="n">
        <v>6</v>
      </c>
      <c r="H77" s="7" t="n">
        <v>0</v>
      </c>
      <c r="I77" s="7" t="n">
        <v>0</v>
      </c>
      <c r="J77" s="7" t="n">
        <f aca="false">G77-H77-I77</f>
        <v>6</v>
      </c>
      <c r="K77" s="6" t="str">
        <f aca="false">IF(J77=0,"FULL",IF(J77&lt;=2,"Hampir Penuh","Tersedia"))</f>
        <v>Tersedia</v>
      </c>
      <c r="L77" s="6"/>
      <c r="M77" s="6"/>
    </row>
    <row r="78" customFormat="false" ht="15" hidden="false" customHeight="false" outlineLevel="0" collapsed="false">
      <c r="A78" s="6" t="s">
        <v>102</v>
      </c>
      <c r="B78" s="6" t="s">
        <v>109</v>
      </c>
      <c r="C78" s="6" t="s">
        <v>51</v>
      </c>
      <c r="D78" s="6" t="s">
        <v>57</v>
      </c>
      <c r="E78" s="6" t="s">
        <v>42</v>
      </c>
      <c r="F78" s="6" t="s">
        <v>43</v>
      </c>
      <c r="G78" s="7" t="n">
        <v>6</v>
      </c>
      <c r="H78" s="7" t="n">
        <v>0</v>
      </c>
      <c r="I78" s="7" t="n">
        <v>2</v>
      </c>
      <c r="J78" s="7" t="n">
        <f aca="false">G78-H78-I78</f>
        <v>4</v>
      </c>
      <c r="K78" s="6" t="str">
        <f aca="false">IF(J78=0,"FULL",IF(J78&lt;=2,"Hampir Penuh","Tersedia"))</f>
        <v>Tersedia</v>
      </c>
      <c r="L78" s="6" t="s">
        <v>112</v>
      </c>
      <c r="M78" s="6"/>
    </row>
    <row r="79" customFormat="false" ht="15" hidden="false" customHeight="false" outlineLevel="0" collapsed="false">
      <c r="A79" s="6" t="s">
        <v>102</v>
      </c>
      <c r="B79" s="6" t="s">
        <v>109</v>
      </c>
      <c r="C79" s="6" t="s">
        <v>54</v>
      </c>
      <c r="D79" s="6" t="s">
        <v>59</v>
      </c>
      <c r="E79" s="6" t="s">
        <v>42</v>
      </c>
      <c r="F79" s="6" t="s">
        <v>73</v>
      </c>
      <c r="G79" s="7" t="n">
        <v>6</v>
      </c>
      <c r="H79" s="7" t="n">
        <v>0</v>
      </c>
      <c r="I79" s="7" t="n">
        <v>3</v>
      </c>
      <c r="J79" s="7" t="n">
        <f aca="false">G79-H79-I79</f>
        <v>3</v>
      </c>
      <c r="K79" s="6" t="str">
        <f aca="false">IF(J79=0,"FULL",IF(J79&lt;=2,"Hampir Penuh","Tersedia"))</f>
        <v>Tersedia</v>
      </c>
      <c r="L79" s="6" t="s">
        <v>113</v>
      </c>
      <c r="M79" s="6"/>
    </row>
    <row r="80" customFormat="false" ht="15" hidden="false" customHeight="false" outlineLevel="0" collapsed="false">
      <c r="A80" s="6" t="s">
        <v>102</v>
      </c>
      <c r="B80" s="6" t="s">
        <v>109</v>
      </c>
      <c r="C80" s="6" t="s">
        <v>56</v>
      </c>
      <c r="D80" s="6" t="s">
        <v>61</v>
      </c>
      <c r="E80" s="6" t="s">
        <v>42</v>
      </c>
      <c r="F80" s="6" t="s">
        <v>43</v>
      </c>
      <c r="G80" s="7" t="n">
        <v>6</v>
      </c>
      <c r="H80" s="7" t="n">
        <v>0</v>
      </c>
      <c r="I80" s="7" t="n">
        <v>6</v>
      </c>
      <c r="J80" s="7" t="n">
        <f aca="false">G80-H80-I80</f>
        <v>0</v>
      </c>
      <c r="K80" s="6" t="str">
        <f aca="false">IF(J80=0,"FULL",IF(J80&lt;=2,"Hampir Penuh","Tersedia"))</f>
        <v>FULL</v>
      </c>
      <c r="L80" s="6" t="s">
        <v>114</v>
      </c>
      <c r="M80" s="6"/>
    </row>
    <row r="81" customFormat="false" ht="15" hidden="false" customHeight="false" outlineLevel="0" collapsed="false">
      <c r="A81" s="6" t="s">
        <v>102</v>
      </c>
      <c r="B81" s="6" t="s">
        <v>109</v>
      </c>
      <c r="C81" s="6" t="s">
        <v>58</v>
      </c>
      <c r="D81" s="6"/>
      <c r="E81" s="6"/>
      <c r="F81" s="6" t="s">
        <v>43</v>
      </c>
      <c r="G81" s="7" t="n">
        <v>6</v>
      </c>
      <c r="H81" s="7" t="n">
        <v>0</v>
      </c>
      <c r="I81" s="7" t="n">
        <v>0</v>
      </c>
      <c r="J81" s="7" t="n">
        <f aca="false">G81-H81-I81</f>
        <v>6</v>
      </c>
      <c r="K81" s="6" t="str">
        <f aca="false">IF(J81=0,"FULL",IF(J81&lt;=2,"Hampir Penuh","Tersedia"))</f>
        <v>Tersedia</v>
      </c>
      <c r="L81" s="6"/>
      <c r="M81" s="6"/>
    </row>
    <row r="82" customFormat="false" ht="15" hidden="false" customHeight="false" outlineLevel="0" collapsed="false">
      <c r="A82" s="6" t="s">
        <v>102</v>
      </c>
      <c r="B82" s="6" t="s">
        <v>109</v>
      </c>
      <c r="C82" s="6" t="s">
        <v>60</v>
      </c>
      <c r="D82" s="6"/>
      <c r="E82" s="6"/>
      <c r="F82" s="6" t="s">
        <v>43</v>
      </c>
      <c r="G82" s="7" t="n">
        <v>6</v>
      </c>
      <c r="H82" s="7" t="n">
        <v>0</v>
      </c>
      <c r="I82" s="7" t="n">
        <v>0</v>
      </c>
      <c r="J82" s="7" t="n">
        <f aca="false">G82-H82-I82</f>
        <v>6</v>
      </c>
      <c r="K82" s="6" t="str">
        <f aca="false">IF(J82=0,"FULL",IF(J82&lt;=2,"Hampir Penuh","Tersedia"))</f>
        <v>Tersedia</v>
      </c>
      <c r="L82" s="6"/>
      <c r="M82" s="6"/>
    </row>
    <row r="83" customFormat="false" ht="15" hidden="false" customHeight="false" outlineLevel="0" collapsed="false">
      <c r="A83" s="6" t="s">
        <v>102</v>
      </c>
      <c r="B83" s="6" t="s">
        <v>109</v>
      </c>
      <c r="C83" s="6" t="s">
        <v>62</v>
      </c>
      <c r="D83" s="6"/>
      <c r="E83" s="6"/>
      <c r="F83" s="6" t="s">
        <v>43</v>
      </c>
      <c r="G83" s="7" t="n">
        <v>6</v>
      </c>
      <c r="H83" s="7" t="n">
        <v>0</v>
      </c>
      <c r="I83" s="7" t="n">
        <v>0</v>
      </c>
      <c r="J83" s="7" t="n">
        <f aca="false">G83-H83-I83</f>
        <v>6</v>
      </c>
      <c r="K83" s="6" t="str">
        <f aca="false">IF(J83=0,"FULL",IF(J83&lt;=2,"Hampir Penuh","Tersedia"))</f>
        <v>Tersedia</v>
      </c>
      <c r="L83" s="6"/>
      <c r="M83" s="6"/>
    </row>
    <row r="84" customFormat="false" ht="15" hidden="false" customHeight="false" outlineLevel="0" collapsed="false">
      <c r="A84" s="6" t="s">
        <v>102</v>
      </c>
      <c r="B84" s="6" t="s">
        <v>109</v>
      </c>
      <c r="C84" s="6" t="s">
        <v>63</v>
      </c>
      <c r="D84" s="6"/>
      <c r="E84" s="6"/>
      <c r="F84" s="6" t="s">
        <v>43</v>
      </c>
      <c r="G84" s="7" t="n">
        <v>6</v>
      </c>
      <c r="H84" s="7" t="n">
        <v>0</v>
      </c>
      <c r="I84" s="7" t="n">
        <v>0</v>
      </c>
      <c r="J84" s="7" t="n">
        <f aca="false">G84-H84-I84</f>
        <v>6</v>
      </c>
      <c r="K84" s="6" t="str">
        <f aca="false">IF(J84=0,"FULL",IF(J84&lt;=2,"Hampir Penuh","Tersedia"))</f>
        <v>Tersedia</v>
      </c>
      <c r="L84" s="6"/>
      <c r="M84" s="6"/>
    </row>
    <row r="85" customFormat="false" ht="15" hidden="false" customHeight="false" outlineLevel="0" collapsed="false">
      <c r="A85" s="6" t="s">
        <v>102</v>
      </c>
      <c r="B85" s="6" t="s">
        <v>115</v>
      </c>
      <c r="C85" s="6" t="s">
        <v>40</v>
      </c>
      <c r="D85" s="6" t="s">
        <v>41</v>
      </c>
      <c r="E85" s="6" t="s">
        <v>42</v>
      </c>
      <c r="F85" s="6" t="s">
        <v>43</v>
      </c>
      <c r="G85" s="7" t="n">
        <v>6</v>
      </c>
      <c r="H85" s="7" t="n">
        <v>0</v>
      </c>
      <c r="I85" s="7" t="n">
        <v>1</v>
      </c>
      <c r="J85" s="7" t="n">
        <f aca="false">G85-H85-I85</f>
        <v>5</v>
      </c>
      <c r="K85" s="6" t="str">
        <f aca="false">IF(J85=0,"FULL",IF(J85&lt;=2,"Hampir Penuh","Tersedia"))</f>
        <v>Tersedia</v>
      </c>
      <c r="L85" s="6" t="s">
        <v>116</v>
      </c>
      <c r="M85" s="6"/>
    </row>
    <row r="86" customFormat="false" ht="15" hidden="false" customHeight="false" outlineLevel="0" collapsed="false">
      <c r="A86" s="6" t="s">
        <v>102</v>
      </c>
      <c r="B86" s="6" t="s">
        <v>115</v>
      </c>
      <c r="C86" s="6" t="s">
        <v>45</v>
      </c>
      <c r="D86" s="6" t="s">
        <v>46</v>
      </c>
      <c r="E86" s="6" t="s">
        <v>42</v>
      </c>
      <c r="F86" s="6" t="s">
        <v>43</v>
      </c>
      <c r="G86" s="7" t="n">
        <v>6</v>
      </c>
      <c r="H86" s="7" t="n">
        <v>2</v>
      </c>
      <c r="I86" s="7" t="n">
        <v>3</v>
      </c>
      <c r="J86" s="7" t="n">
        <f aca="false">G86-H86-I86</f>
        <v>1</v>
      </c>
      <c r="K86" s="6" t="str">
        <f aca="false">IF(J86=0,"FULL",IF(J86&lt;=2,"Hampir Penuh","Tersedia"))</f>
        <v>Hampir Penuh</v>
      </c>
      <c r="L86" s="6" t="s">
        <v>117</v>
      </c>
      <c r="M86" s="6"/>
    </row>
    <row r="87" customFormat="false" ht="15" hidden="false" customHeight="false" outlineLevel="0" collapsed="false">
      <c r="A87" s="6" t="s">
        <v>102</v>
      </c>
      <c r="B87" s="6" t="s">
        <v>115</v>
      </c>
      <c r="C87" s="6" t="s">
        <v>48</v>
      </c>
      <c r="D87" s="6" t="s">
        <v>49</v>
      </c>
      <c r="E87" s="6" t="s">
        <v>42</v>
      </c>
      <c r="F87" s="6" t="s">
        <v>43</v>
      </c>
      <c r="G87" s="7" t="n">
        <v>6</v>
      </c>
      <c r="H87" s="7" t="n">
        <v>0</v>
      </c>
      <c r="I87" s="7" t="n">
        <v>0</v>
      </c>
      <c r="J87" s="7" t="n">
        <f aca="false">G87-H87-I87</f>
        <v>6</v>
      </c>
      <c r="K87" s="6" t="str">
        <f aca="false">IF(J87=0,"FULL",IF(J87&lt;=2,"Hampir Penuh","Tersedia"))</f>
        <v>Tersedia</v>
      </c>
      <c r="L87" s="6"/>
      <c r="M87" s="6"/>
    </row>
    <row r="88" customFormat="false" ht="15" hidden="false" customHeight="false" outlineLevel="0" collapsed="false">
      <c r="A88" s="6" t="s">
        <v>102</v>
      </c>
      <c r="B88" s="6" t="s">
        <v>115</v>
      </c>
      <c r="C88" s="6" t="s">
        <v>51</v>
      </c>
      <c r="D88" s="6" t="s">
        <v>57</v>
      </c>
      <c r="E88" s="6" t="s">
        <v>42</v>
      </c>
      <c r="F88" s="6" t="s">
        <v>43</v>
      </c>
      <c r="G88" s="7" t="n">
        <v>6</v>
      </c>
      <c r="H88" s="7" t="n">
        <v>0</v>
      </c>
      <c r="I88" s="7" t="n">
        <v>0</v>
      </c>
      <c r="J88" s="7" t="n">
        <f aca="false">G88-H88-I88</f>
        <v>6</v>
      </c>
      <c r="K88" s="6" t="str">
        <f aca="false">IF(J88=0,"FULL",IF(J88&lt;=2,"Hampir Penuh","Tersedia"))</f>
        <v>Tersedia</v>
      </c>
      <c r="L88" s="6"/>
      <c r="M88" s="6"/>
    </row>
    <row r="89" customFormat="false" ht="15" hidden="false" customHeight="false" outlineLevel="0" collapsed="false">
      <c r="A89" s="6" t="s">
        <v>102</v>
      </c>
      <c r="B89" s="6" t="s">
        <v>115</v>
      </c>
      <c r="C89" s="6" t="s">
        <v>54</v>
      </c>
      <c r="D89" s="6" t="s">
        <v>59</v>
      </c>
      <c r="E89" s="6" t="s">
        <v>42</v>
      </c>
      <c r="F89" s="6" t="s">
        <v>43</v>
      </c>
      <c r="G89" s="7" t="n">
        <v>6</v>
      </c>
      <c r="H89" s="7" t="n">
        <v>0</v>
      </c>
      <c r="I89" s="7" t="n">
        <v>0</v>
      </c>
      <c r="J89" s="7" t="n">
        <f aca="false">G89-H89-I89</f>
        <v>6</v>
      </c>
      <c r="K89" s="6" t="str">
        <f aca="false">IF(J89=0,"FULL",IF(J89&lt;=2,"Hampir Penuh","Tersedia"))</f>
        <v>Tersedia</v>
      </c>
      <c r="L89" s="6"/>
      <c r="M89" s="6"/>
    </row>
    <row r="90" customFormat="false" ht="15" hidden="false" customHeight="false" outlineLevel="0" collapsed="false">
      <c r="A90" s="6" t="s">
        <v>102</v>
      </c>
      <c r="B90" s="6" t="s">
        <v>115</v>
      </c>
      <c r="C90" s="6" t="s">
        <v>56</v>
      </c>
      <c r="D90" s="6" t="s">
        <v>61</v>
      </c>
      <c r="E90" s="6" t="s">
        <v>42</v>
      </c>
      <c r="F90" s="6" t="s">
        <v>43</v>
      </c>
      <c r="G90" s="7" t="n">
        <v>6</v>
      </c>
      <c r="H90" s="7" t="n">
        <v>0</v>
      </c>
      <c r="I90" s="7" t="n">
        <v>1</v>
      </c>
      <c r="J90" s="7" t="n">
        <f aca="false">G90-H90-I90</f>
        <v>5</v>
      </c>
      <c r="K90" s="6" t="str">
        <f aca="false">IF(J90=0,"FULL",IF(J90&lt;=2,"Hampir Penuh","Tersedia"))</f>
        <v>Tersedia</v>
      </c>
      <c r="L90" s="6" t="s">
        <v>118</v>
      </c>
      <c r="M90" s="6"/>
    </row>
    <row r="91" customFormat="false" ht="15" hidden="false" customHeight="false" outlineLevel="0" collapsed="false">
      <c r="A91" s="6" t="s">
        <v>102</v>
      </c>
      <c r="B91" s="6" t="s">
        <v>115</v>
      </c>
      <c r="C91" s="6" t="s">
        <v>58</v>
      </c>
      <c r="D91" s="6"/>
      <c r="E91" s="6"/>
      <c r="F91" s="6" t="s">
        <v>43</v>
      </c>
      <c r="G91" s="7" t="n">
        <v>6</v>
      </c>
      <c r="H91" s="7" t="n">
        <v>0</v>
      </c>
      <c r="I91" s="7" t="n">
        <v>0</v>
      </c>
      <c r="J91" s="7" t="n">
        <f aca="false">G91-H91-I91</f>
        <v>6</v>
      </c>
      <c r="K91" s="6" t="str">
        <f aca="false">IF(J91=0,"FULL",IF(J91&lt;=2,"Hampir Penuh","Tersedia"))</f>
        <v>Tersedia</v>
      </c>
      <c r="L91" s="6"/>
      <c r="M91" s="6"/>
    </row>
    <row r="92" customFormat="false" ht="15" hidden="false" customHeight="false" outlineLevel="0" collapsed="false">
      <c r="A92" s="6" t="s">
        <v>102</v>
      </c>
      <c r="B92" s="6" t="s">
        <v>115</v>
      </c>
      <c r="C92" s="6" t="s">
        <v>60</v>
      </c>
      <c r="D92" s="6"/>
      <c r="E92" s="6"/>
      <c r="F92" s="6" t="s">
        <v>43</v>
      </c>
      <c r="G92" s="7" t="n">
        <v>6</v>
      </c>
      <c r="H92" s="7" t="n">
        <v>0</v>
      </c>
      <c r="I92" s="7" t="n">
        <v>0</v>
      </c>
      <c r="J92" s="7" t="n">
        <f aca="false">G92-H92-I92</f>
        <v>6</v>
      </c>
      <c r="K92" s="6" t="str">
        <f aca="false">IF(J92=0,"FULL",IF(J92&lt;=2,"Hampir Penuh","Tersedia"))</f>
        <v>Tersedia</v>
      </c>
      <c r="L92" s="6"/>
      <c r="M92" s="6"/>
    </row>
    <row r="93" customFormat="false" ht="15" hidden="false" customHeight="false" outlineLevel="0" collapsed="false">
      <c r="A93" s="6" t="s">
        <v>102</v>
      </c>
      <c r="B93" s="6" t="s">
        <v>115</v>
      </c>
      <c r="C93" s="6" t="s">
        <v>62</v>
      </c>
      <c r="D93" s="6"/>
      <c r="E93" s="6"/>
      <c r="F93" s="6" t="s">
        <v>43</v>
      </c>
      <c r="G93" s="7" t="n">
        <v>6</v>
      </c>
      <c r="H93" s="7" t="n">
        <v>0</v>
      </c>
      <c r="I93" s="7" t="n">
        <v>0</v>
      </c>
      <c r="J93" s="7" t="n">
        <f aca="false">G93-H93-I93</f>
        <v>6</v>
      </c>
      <c r="K93" s="6" t="str">
        <f aca="false">IF(J93=0,"FULL",IF(J93&lt;=2,"Hampir Penuh","Tersedia"))</f>
        <v>Tersedia</v>
      </c>
      <c r="L93" s="6"/>
      <c r="M93" s="6"/>
    </row>
    <row r="94" customFormat="false" ht="15" hidden="false" customHeight="false" outlineLevel="0" collapsed="false">
      <c r="A94" s="6" t="s">
        <v>102</v>
      </c>
      <c r="B94" s="6" t="s">
        <v>115</v>
      </c>
      <c r="C94" s="6" t="s">
        <v>63</v>
      </c>
      <c r="D94" s="6"/>
      <c r="E94" s="6"/>
      <c r="F94" s="6" t="s">
        <v>43</v>
      </c>
      <c r="G94" s="7" t="n">
        <v>6</v>
      </c>
      <c r="H94" s="7" t="n">
        <v>0</v>
      </c>
      <c r="I94" s="7" t="n">
        <v>0</v>
      </c>
      <c r="J94" s="7" t="n">
        <f aca="false">G94-H94-I94</f>
        <v>6</v>
      </c>
      <c r="K94" s="6" t="str">
        <f aca="false">IF(J94=0,"FULL",IF(J94&lt;=2,"Hampir Penuh","Tersedia"))</f>
        <v>Tersedia</v>
      </c>
      <c r="L94" s="6"/>
      <c r="M94" s="6"/>
    </row>
    <row r="95" customFormat="false" ht="15" hidden="false" customHeight="false" outlineLevel="0" collapsed="false">
      <c r="A95" s="6" t="s">
        <v>102</v>
      </c>
      <c r="B95" s="6" t="s">
        <v>119</v>
      </c>
      <c r="C95" s="6" t="s">
        <v>40</v>
      </c>
      <c r="D95" s="6" t="s">
        <v>41</v>
      </c>
      <c r="E95" s="6" t="s">
        <v>42</v>
      </c>
      <c r="F95" s="6" t="s">
        <v>43</v>
      </c>
      <c r="G95" s="7" t="n">
        <v>6</v>
      </c>
      <c r="H95" s="7" t="n">
        <v>0</v>
      </c>
      <c r="I95" s="7" t="n">
        <v>2</v>
      </c>
      <c r="J95" s="7" t="n">
        <f aca="false">G95-H95-I95</f>
        <v>4</v>
      </c>
      <c r="K95" s="6" t="str">
        <f aca="false">IF(J95=0,"FULL",IF(J95&lt;=2,"Hampir Penuh","Tersedia"))</f>
        <v>Tersedia</v>
      </c>
      <c r="L95" s="6" t="s">
        <v>120</v>
      </c>
      <c r="M95" s="6"/>
    </row>
    <row r="96" customFormat="false" ht="15" hidden="false" customHeight="false" outlineLevel="0" collapsed="false">
      <c r="A96" s="6" t="s">
        <v>102</v>
      </c>
      <c r="B96" s="6" t="s">
        <v>119</v>
      </c>
      <c r="C96" s="6" t="s">
        <v>45</v>
      </c>
      <c r="D96" s="6" t="s">
        <v>46</v>
      </c>
      <c r="E96" s="6" t="s">
        <v>42</v>
      </c>
      <c r="F96" s="6" t="s">
        <v>83</v>
      </c>
      <c r="G96" s="7" t="n">
        <v>6</v>
      </c>
      <c r="H96" s="7" t="n">
        <v>0</v>
      </c>
      <c r="I96" s="7" t="n">
        <v>6</v>
      </c>
      <c r="J96" s="7" t="n">
        <f aca="false">G96-H96-I96</f>
        <v>0</v>
      </c>
      <c r="K96" s="6" t="str">
        <f aca="false">IF(J96=0,"FULL",IF(J96&lt;=2,"Hampir Penuh","Tersedia"))</f>
        <v>FULL</v>
      </c>
      <c r="L96" s="6" t="s">
        <v>84</v>
      </c>
      <c r="M96" s="6"/>
    </row>
    <row r="97" customFormat="false" ht="15" hidden="false" customHeight="false" outlineLevel="0" collapsed="false">
      <c r="A97" s="6" t="s">
        <v>102</v>
      </c>
      <c r="B97" s="6" t="s">
        <v>119</v>
      </c>
      <c r="C97" s="6" t="s">
        <v>48</v>
      </c>
      <c r="D97" s="6" t="s">
        <v>49</v>
      </c>
      <c r="E97" s="6" t="s">
        <v>42</v>
      </c>
      <c r="F97" s="6" t="s">
        <v>83</v>
      </c>
      <c r="G97" s="7" t="n">
        <v>6</v>
      </c>
      <c r="H97" s="7" t="n">
        <v>0</v>
      </c>
      <c r="I97" s="7" t="n">
        <v>6</v>
      </c>
      <c r="J97" s="7" t="n">
        <f aca="false">G97-H97-I97</f>
        <v>0</v>
      </c>
      <c r="K97" s="6" t="str">
        <f aca="false">IF(J97=0,"FULL",IF(J97&lt;=2,"Hampir Penuh","Tersedia"))</f>
        <v>FULL</v>
      </c>
      <c r="L97" s="6" t="s">
        <v>85</v>
      </c>
      <c r="M97" s="6"/>
    </row>
    <row r="98" customFormat="false" ht="15" hidden="false" customHeight="false" outlineLevel="0" collapsed="false">
      <c r="A98" s="6" t="s">
        <v>102</v>
      </c>
      <c r="B98" s="6" t="s">
        <v>119</v>
      </c>
      <c r="C98" s="6" t="s">
        <v>51</v>
      </c>
      <c r="D98" s="6" t="s">
        <v>57</v>
      </c>
      <c r="E98" s="6" t="s">
        <v>42</v>
      </c>
      <c r="F98" s="6" t="s">
        <v>43</v>
      </c>
      <c r="G98" s="7" t="n">
        <v>6</v>
      </c>
      <c r="H98" s="7" t="n">
        <v>0</v>
      </c>
      <c r="I98" s="7" t="n">
        <v>2</v>
      </c>
      <c r="J98" s="7" t="n">
        <f aca="false">G98-H98-I98</f>
        <v>4</v>
      </c>
      <c r="K98" s="6" t="str">
        <f aca="false">IF(J98=0,"FULL",IF(J98&lt;=2,"Hampir Penuh","Tersedia"))</f>
        <v>Tersedia</v>
      </c>
      <c r="L98" s="6" t="s">
        <v>112</v>
      </c>
      <c r="M98" s="6"/>
    </row>
    <row r="99" customFormat="false" ht="15" hidden="false" customHeight="false" outlineLevel="0" collapsed="false">
      <c r="A99" s="6" t="s">
        <v>102</v>
      </c>
      <c r="B99" s="6" t="s">
        <v>119</v>
      </c>
      <c r="C99" s="6" t="s">
        <v>54</v>
      </c>
      <c r="D99" s="6" t="s">
        <v>59</v>
      </c>
      <c r="E99" s="6" t="s">
        <v>42</v>
      </c>
      <c r="F99" s="6" t="s">
        <v>43</v>
      </c>
      <c r="G99" s="7" t="n">
        <v>6</v>
      </c>
      <c r="H99" s="7" t="n">
        <v>0</v>
      </c>
      <c r="I99" s="7" t="n">
        <v>1</v>
      </c>
      <c r="J99" s="7" t="n">
        <f aca="false">G99-H99-I99</f>
        <v>5</v>
      </c>
      <c r="K99" s="6" t="str">
        <f aca="false">IF(J99=0,"FULL",IF(J99&lt;=2,"Hampir Penuh","Tersedia"))</f>
        <v>Tersedia</v>
      </c>
      <c r="L99" s="6" t="s">
        <v>121</v>
      </c>
      <c r="M99" s="6"/>
    </row>
    <row r="100" customFormat="false" ht="15" hidden="false" customHeight="false" outlineLevel="0" collapsed="false">
      <c r="A100" s="6" t="s">
        <v>102</v>
      </c>
      <c r="B100" s="6" t="s">
        <v>119</v>
      </c>
      <c r="C100" s="6" t="s">
        <v>56</v>
      </c>
      <c r="D100" s="6" t="s">
        <v>61</v>
      </c>
      <c r="E100" s="6" t="s">
        <v>42</v>
      </c>
      <c r="F100" s="6" t="s">
        <v>43</v>
      </c>
      <c r="G100" s="7" t="n">
        <v>6</v>
      </c>
      <c r="H100" s="7" t="n">
        <v>0</v>
      </c>
      <c r="I100" s="7" t="n">
        <v>6</v>
      </c>
      <c r="J100" s="7" t="n">
        <f aca="false">G100-H100-I100</f>
        <v>0</v>
      </c>
      <c r="K100" s="6" t="str">
        <f aca="false">IF(J100=0,"FULL",IF(J100&lt;=2,"Hampir Penuh","Tersedia"))</f>
        <v>FULL</v>
      </c>
      <c r="L100" s="6"/>
      <c r="M100" s="6"/>
    </row>
    <row r="101" customFormat="false" ht="15" hidden="false" customHeight="false" outlineLevel="0" collapsed="false">
      <c r="A101" s="6" t="s">
        <v>102</v>
      </c>
      <c r="B101" s="6" t="s">
        <v>119</v>
      </c>
      <c r="C101" s="6" t="s">
        <v>58</v>
      </c>
      <c r="D101" s="6"/>
      <c r="E101" s="6"/>
      <c r="F101" s="6" t="s">
        <v>43</v>
      </c>
      <c r="G101" s="7" t="n">
        <v>6</v>
      </c>
      <c r="H101" s="7" t="n">
        <v>0</v>
      </c>
      <c r="I101" s="7" t="n">
        <v>0</v>
      </c>
      <c r="J101" s="7" t="n">
        <f aca="false">G101-H101-I101</f>
        <v>6</v>
      </c>
      <c r="K101" s="6" t="str">
        <f aca="false">IF(J101=0,"FULL",IF(J101&lt;=2,"Hampir Penuh","Tersedia"))</f>
        <v>Tersedia</v>
      </c>
      <c r="L101" s="6"/>
      <c r="M101" s="6"/>
    </row>
    <row r="102" customFormat="false" ht="15" hidden="false" customHeight="false" outlineLevel="0" collapsed="false">
      <c r="A102" s="6" t="s">
        <v>102</v>
      </c>
      <c r="B102" s="6" t="s">
        <v>119</v>
      </c>
      <c r="C102" s="6" t="s">
        <v>60</v>
      </c>
      <c r="D102" s="6"/>
      <c r="E102" s="6"/>
      <c r="F102" s="6" t="s">
        <v>43</v>
      </c>
      <c r="G102" s="7" t="n">
        <v>6</v>
      </c>
      <c r="H102" s="7" t="n">
        <v>0</v>
      </c>
      <c r="I102" s="7" t="n">
        <v>0</v>
      </c>
      <c r="J102" s="7" t="n">
        <f aca="false">G102-H102-I102</f>
        <v>6</v>
      </c>
      <c r="K102" s="6" t="str">
        <f aca="false">IF(J102=0,"FULL",IF(J102&lt;=2,"Hampir Penuh","Tersedia"))</f>
        <v>Tersedia</v>
      </c>
      <c r="L102" s="6"/>
      <c r="M102" s="6"/>
    </row>
    <row r="103" customFormat="false" ht="15" hidden="false" customHeight="false" outlineLevel="0" collapsed="false">
      <c r="A103" s="6" t="s">
        <v>102</v>
      </c>
      <c r="B103" s="6" t="s">
        <v>119</v>
      </c>
      <c r="C103" s="6" t="s">
        <v>62</v>
      </c>
      <c r="D103" s="6"/>
      <c r="E103" s="6"/>
      <c r="F103" s="6" t="s">
        <v>43</v>
      </c>
      <c r="G103" s="7" t="n">
        <v>6</v>
      </c>
      <c r="H103" s="7" t="n">
        <v>0</v>
      </c>
      <c r="I103" s="7" t="n">
        <v>0</v>
      </c>
      <c r="J103" s="7" t="n">
        <f aca="false">G103-H103-I103</f>
        <v>6</v>
      </c>
      <c r="K103" s="6" t="str">
        <f aca="false">IF(J103=0,"FULL",IF(J103&lt;=2,"Hampir Penuh","Tersedia"))</f>
        <v>Tersedia</v>
      </c>
      <c r="L103" s="6"/>
      <c r="M103" s="6"/>
    </row>
    <row r="104" customFormat="false" ht="15" hidden="false" customHeight="false" outlineLevel="0" collapsed="false">
      <c r="A104" s="6" t="s">
        <v>102</v>
      </c>
      <c r="B104" s="6" t="s">
        <v>119</v>
      </c>
      <c r="C104" s="6" t="s">
        <v>63</v>
      </c>
      <c r="D104" s="6"/>
      <c r="E104" s="6"/>
      <c r="F104" s="6" t="s">
        <v>43</v>
      </c>
      <c r="G104" s="7" t="n">
        <v>6</v>
      </c>
      <c r="H104" s="7" t="n">
        <v>0</v>
      </c>
      <c r="I104" s="7" t="n">
        <v>0</v>
      </c>
      <c r="J104" s="7" t="n">
        <f aca="false">G104-H104-I104</f>
        <v>6</v>
      </c>
      <c r="K104" s="6" t="str">
        <f aca="false">IF(J104=0,"FULL",IF(J104&lt;=2,"Hampir Penuh","Tersedia"))</f>
        <v>Tersedia</v>
      </c>
      <c r="L104" s="6"/>
      <c r="M104" s="6"/>
    </row>
    <row r="105" customFormat="false" ht="15" hidden="false" customHeight="false" outlineLevel="0" collapsed="false">
      <c r="A105" s="6" t="s">
        <v>102</v>
      </c>
      <c r="B105" s="6" t="s">
        <v>122</v>
      </c>
      <c r="C105" s="6" t="s">
        <v>40</v>
      </c>
      <c r="D105" s="6" t="s">
        <v>41</v>
      </c>
      <c r="E105" s="6" t="s">
        <v>42</v>
      </c>
      <c r="F105" s="6" t="s">
        <v>43</v>
      </c>
      <c r="G105" s="7" t="n">
        <v>6</v>
      </c>
      <c r="H105" s="7" t="n">
        <v>2</v>
      </c>
      <c r="I105" s="7" t="n">
        <v>2</v>
      </c>
      <c r="J105" s="7" t="n">
        <f aca="false">G105-H105-I105</f>
        <v>2</v>
      </c>
      <c r="K105" s="6" t="str">
        <f aca="false">IF(J105=0,"FULL",IF(J105&lt;=2,"Hampir Penuh","Tersedia"))</f>
        <v>Hampir Penuh</v>
      </c>
      <c r="L105" s="6" t="s">
        <v>123</v>
      </c>
      <c r="M105" s="6"/>
    </row>
    <row r="106" customFormat="false" ht="15" hidden="false" customHeight="false" outlineLevel="0" collapsed="false">
      <c r="A106" s="6" t="s">
        <v>102</v>
      </c>
      <c r="B106" s="6" t="s">
        <v>122</v>
      </c>
      <c r="C106" s="6" t="s">
        <v>45</v>
      </c>
      <c r="D106" s="6" t="s">
        <v>46</v>
      </c>
      <c r="E106" s="6" t="s">
        <v>42</v>
      </c>
      <c r="F106" s="6" t="s">
        <v>83</v>
      </c>
      <c r="G106" s="7" t="n">
        <v>6</v>
      </c>
      <c r="H106" s="7" t="n">
        <v>0</v>
      </c>
      <c r="I106" s="7" t="n">
        <v>6</v>
      </c>
      <c r="J106" s="7" t="n">
        <f aca="false">G106-H106-I106</f>
        <v>0</v>
      </c>
      <c r="K106" s="6" t="str">
        <f aca="false">IF(J106=0,"FULL",IF(J106&lt;=2,"Hampir Penuh","Tersedia"))</f>
        <v>FULL</v>
      </c>
      <c r="L106" s="6" t="s">
        <v>90</v>
      </c>
      <c r="M106" s="6"/>
    </row>
    <row r="107" customFormat="false" ht="15" hidden="false" customHeight="false" outlineLevel="0" collapsed="false">
      <c r="A107" s="6" t="s">
        <v>102</v>
      </c>
      <c r="B107" s="6" t="s">
        <v>122</v>
      </c>
      <c r="C107" s="6" t="s">
        <v>48</v>
      </c>
      <c r="D107" s="6" t="s">
        <v>49</v>
      </c>
      <c r="E107" s="6" t="s">
        <v>42</v>
      </c>
      <c r="F107" s="6" t="s">
        <v>83</v>
      </c>
      <c r="G107" s="7" t="n">
        <v>6</v>
      </c>
      <c r="H107" s="7" t="n">
        <v>0</v>
      </c>
      <c r="I107" s="7" t="n">
        <v>6</v>
      </c>
      <c r="J107" s="7" t="n">
        <f aca="false">G107-H107-I107</f>
        <v>0</v>
      </c>
      <c r="K107" s="6" t="str">
        <f aca="false">IF(J107=0,"FULL",IF(J107&lt;=2,"Hampir Penuh","Tersedia"))</f>
        <v>FULL</v>
      </c>
      <c r="L107" s="6" t="s">
        <v>91</v>
      </c>
      <c r="M107" s="6"/>
    </row>
    <row r="108" customFormat="false" ht="15" hidden="false" customHeight="false" outlineLevel="0" collapsed="false">
      <c r="A108" s="6" t="s">
        <v>102</v>
      </c>
      <c r="B108" s="6" t="s">
        <v>122</v>
      </c>
      <c r="C108" s="6" t="s">
        <v>51</v>
      </c>
      <c r="D108" s="6" t="s">
        <v>57</v>
      </c>
      <c r="E108" s="6" t="s">
        <v>92</v>
      </c>
      <c r="F108" s="6" t="s">
        <v>43</v>
      </c>
      <c r="G108" s="7" t="n">
        <v>6</v>
      </c>
      <c r="H108" s="7" t="n">
        <v>0</v>
      </c>
      <c r="I108" s="7" t="n">
        <v>1</v>
      </c>
      <c r="J108" s="7" t="n">
        <f aca="false">G108-H108-I108</f>
        <v>5</v>
      </c>
      <c r="K108" s="6" t="str">
        <f aca="false">IF(J108=0,"FULL",IF(J108&lt;=2,"Hampir Penuh","Tersedia"))</f>
        <v>Tersedia</v>
      </c>
      <c r="L108" s="6" t="s">
        <v>124</v>
      </c>
      <c r="M108" s="6"/>
    </row>
    <row r="109" customFormat="false" ht="15" hidden="false" customHeight="false" outlineLevel="0" collapsed="false">
      <c r="A109" s="6" t="s">
        <v>102</v>
      </c>
      <c r="B109" s="6" t="s">
        <v>122</v>
      </c>
      <c r="C109" s="6" t="s">
        <v>54</v>
      </c>
      <c r="D109" s="6" t="s">
        <v>59</v>
      </c>
      <c r="E109" s="6" t="s">
        <v>92</v>
      </c>
      <c r="F109" s="6" t="s">
        <v>43</v>
      </c>
      <c r="G109" s="7" t="n">
        <v>6</v>
      </c>
      <c r="H109" s="7" t="n">
        <v>0</v>
      </c>
      <c r="I109" s="7" t="n">
        <v>0</v>
      </c>
      <c r="J109" s="7" t="n">
        <f aca="false">G109-H109-I109</f>
        <v>6</v>
      </c>
      <c r="K109" s="6" t="str">
        <f aca="false">IF(J109=0,"FULL",IF(J109&lt;=2,"Hampir Penuh","Tersedia"))</f>
        <v>Tersedia</v>
      </c>
      <c r="L109" s="6"/>
      <c r="M109" s="6"/>
    </row>
    <row r="110" customFormat="false" ht="15" hidden="false" customHeight="false" outlineLevel="0" collapsed="false">
      <c r="A110" s="6" t="s">
        <v>102</v>
      </c>
      <c r="B110" s="6" t="s">
        <v>122</v>
      </c>
      <c r="C110" s="6" t="s">
        <v>56</v>
      </c>
      <c r="D110" s="6" t="s">
        <v>61</v>
      </c>
      <c r="E110" s="6" t="s">
        <v>92</v>
      </c>
      <c r="F110" s="6" t="s">
        <v>43</v>
      </c>
      <c r="G110" s="7" t="n">
        <v>6</v>
      </c>
      <c r="H110" s="7" t="n">
        <v>0</v>
      </c>
      <c r="I110" s="7" t="n">
        <v>2</v>
      </c>
      <c r="J110" s="7" t="n">
        <f aca="false">G110-H110-I110</f>
        <v>4</v>
      </c>
      <c r="K110" s="6" t="str">
        <f aca="false">IF(J110=0,"FULL",IF(J110&lt;=2,"Hampir Penuh","Tersedia"))</f>
        <v>Tersedia</v>
      </c>
      <c r="L110" s="6" t="s">
        <v>125</v>
      </c>
      <c r="M110" s="6"/>
    </row>
    <row r="111" customFormat="false" ht="15" hidden="false" customHeight="false" outlineLevel="0" collapsed="false">
      <c r="A111" s="6" t="s">
        <v>102</v>
      </c>
      <c r="B111" s="6" t="s">
        <v>122</v>
      </c>
      <c r="C111" s="6" t="s">
        <v>58</v>
      </c>
      <c r="D111" s="6" t="s">
        <v>59</v>
      </c>
      <c r="E111" s="6"/>
      <c r="F111" s="6" t="s">
        <v>43</v>
      </c>
      <c r="G111" s="7" t="n">
        <v>6</v>
      </c>
      <c r="H111" s="7" t="n">
        <v>0</v>
      </c>
      <c r="I111" s="7" t="n">
        <v>0</v>
      </c>
      <c r="J111" s="7" t="n">
        <f aca="false">G111-H111-I111</f>
        <v>6</v>
      </c>
      <c r="K111" s="6" t="str">
        <f aca="false">IF(J111=0,"FULL",IF(J111&lt;=2,"Hampir Penuh","Tersedia"))</f>
        <v>Tersedia</v>
      </c>
      <c r="L111" s="6"/>
      <c r="M111" s="6"/>
    </row>
    <row r="112" customFormat="false" ht="15" hidden="false" customHeight="false" outlineLevel="0" collapsed="false">
      <c r="A112" s="6" t="s">
        <v>102</v>
      </c>
      <c r="B112" s="6" t="s">
        <v>122</v>
      </c>
      <c r="C112" s="6" t="s">
        <v>60</v>
      </c>
      <c r="D112" s="6" t="s">
        <v>61</v>
      </c>
      <c r="E112" s="6"/>
      <c r="F112" s="6" t="s">
        <v>43</v>
      </c>
      <c r="G112" s="7" t="n">
        <v>6</v>
      </c>
      <c r="H112" s="7" t="n">
        <v>0</v>
      </c>
      <c r="I112" s="7" t="n">
        <v>0</v>
      </c>
      <c r="J112" s="7" t="n">
        <f aca="false">G112-H112-I112</f>
        <v>6</v>
      </c>
      <c r="K112" s="6" t="str">
        <f aca="false">IF(J112=0,"FULL",IF(J112&lt;=2,"Hampir Penuh","Tersedia"))</f>
        <v>Tersedia</v>
      </c>
      <c r="L112" s="6"/>
      <c r="M112" s="6"/>
    </row>
    <row r="113" customFormat="false" ht="15" hidden="false" customHeight="false" outlineLevel="0" collapsed="false">
      <c r="A113" s="6" t="s">
        <v>102</v>
      </c>
      <c r="B113" s="6" t="s">
        <v>122</v>
      </c>
      <c r="C113" s="6" t="s">
        <v>62</v>
      </c>
      <c r="D113" s="6"/>
      <c r="E113" s="6"/>
      <c r="F113" s="6" t="s">
        <v>43</v>
      </c>
      <c r="G113" s="7" t="n">
        <v>6</v>
      </c>
      <c r="H113" s="7" t="n">
        <v>0</v>
      </c>
      <c r="I113" s="7" t="n">
        <v>0</v>
      </c>
      <c r="J113" s="7" t="n">
        <f aca="false">G113-H113-I113</f>
        <v>6</v>
      </c>
      <c r="K113" s="6" t="str">
        <f aca="false">IF(J113=0,"FULL",IF(J113&lt;=2,"Hampir Penuh","Tersedia"))</f>
        <v>Tersedia</v>
      </c>
      <c r="L113" s="6"/>
      <c r="M113" s="6"/>
    </row>
    <row r="114" customFormat="false" ht="15" hidden="false" customHeight="false" outlineLevel="0" collapsed="false">
      <c r="A114" s="6" t="s">
        <v>102</v>
      </c>
      <c r="B114" s="6" t="s">
        <v>122</v>
      </c>
      <c r="C114" s="6" t="s">
        <v>63</v>
      </c>
      <c r="D114" s="6"/>
      <c r="E114" s="6"/>
      <c r="F114" s="6" t="s">
        <v>43</v>
      </c>
      <c r="G114" s="7" t="n">
        <v>6</v>
      </c>
      <c r="H114" s="7" t="n">
        <v>0</v>
      </c>
      <c r="I114" s="7" t="n">
        <v>0</v>
      </c>
      <c r="J114" s="7" t="n">
        <f aca="false">G114-H114-I114</f>
        <v>6</v>
      </c>
      <c r="K114" s="6" t="str">
        <f aca="false">IF(J114=0,"FULL",IF(J114&lt;=2,"Hampir Penuh","Tersedia"))</f>
        <v>Tersedia</v>
      </c>
      <c r="L114" s="6"/>
      <c r="M114" s="6"/>
    </row>
    <row r="115" customFormat="false" ht="15" hidden="false" customHeight="false" outlineLevel="0" collapsed="false">
      <c r="A115" s="6" t="s">
        <v>102</v>
      </c>
      <c r="B115" s="6" t="s">
        <v>126</v>
      </c>
      <c r="C115" s="6" t="s">
        <v>40</v>
      </c>
      <c r="D115" s="6" t="s">
        <v>41</v>
      </c>
      <c r="E115" s="6" t="s">
        <v>92</v>
      </c>
      <c r="F115" s="6" t="s">
        <v>43</v>
      </c>
      <c r="G115" s="7" t="n">
        <v>6</v>
      </c>
      <c r="H115" s="7" t="n">
        <v>0</v>
      </c>
      <c r="I115" s="7" t="n">
        <v>0</v>
      </c>
      <c r="J115" s="7" t="n">
        <f aca="false">G115-H115-I115</f>
        <v>6</v>
      </c>
      <c r="K115" s="6" t="str">
        <f aca="false">IF(J115=0,"FULL",IF(J115&lt;=2,"Hampir Penuh","Tersedia"))</f>
        <v>Tersedia</v>
      </c>
      <c r="L115" s="6"/>
      <c r="M115" s="6"/>
    </row>
    <row r="116" customFormat="false" ht="15" hidden="false" customHeight="false" outlineLevel="0" collapsed="false">
      <c r="A116" s="6" t="s">
        <v>102</v>
      </c>
      <c r="B116" s="6" t="s">
        <v>126</v>
      </c>
      <c r="C116" s="6" t="s">
        <v>45</v>
      </c>
      <c r="D116" s="6" t="s">
        <v>46</v>
      </c>
      <c r="E116" s="6" t="s">
        <v>92</v>
      </c>
      <c r="F116" s="6" t="s">
        <v>99</v>
      </c>
      <c r="G116" s="7" t="n">
        <v>6</v>
      </c>
      <c r="H116" s="7" t="n">
        <v>0</v>
      </c>
      <c r="I116" s="7" t="n">
        <v>1</v>
      </c>
      <c r="J116" s="7" t="n">
        <f aca="false">G116-H116-I116</f>
        <v>5</v>
      </c>
      <c r="K116" s="6" t="str">
        <f aca="false">IF(J116=0,"FULL",IF(J116&lt;=2,"Hampir Penuh","Tersedia"))</f>
        <v>Tersedia</v>
      </c>
      <c r="L116" s="6" t="s">
        <v>127</v>
      </c>
      <c r="M116" s="6"/>
    </row>
    <row r="117" customFormat="false" ht="15" hidden="false" customHeight="false" outlineLevel="0" collapsed="false">
      <c r="A117" s="6" t="s">
        <v>102</v>
      </c>
      <c r="B117" s="6" t="s">
        <v>126</v>
      </c>
      <c r="C117" s="6" t="s">
        <v>48</v>
      </c>
      <c r="D117" s="6" t="s">
        <v>49</v>
      </c>
      <c r="E117" s="6" t="s">
        <v>92</v>
      </c>
      <c r="F117" s="6" t="s">
        <v>43</v>
      </c>
      <c r="G117" s="7" t="n">
        <v>6</v>
      </c>
      <c r="H117" s="7" t="n">
        <v>0</v>
      </c>
      <c r="I117" s="7" t="n">
        <v>0</v>
      </c>
      <c r="J117" s="7" t="n">
        <f aca="false">G117-H117-I117</f>
        <v>6</v>
      </c>
      <c r="K117" s="6" t="str">
        <f aca="false">IF(J117=0,"FULL",IF(J117&lt;=2,"Hampir Penuh","Tersedia"))</f>
        <v>Tersedia</v>
      </c>
      <c r="L117" s="6"/>
      <c r="M117" s="6"/>
    </row>
    <row r="118" customFormat="false" ht="15" hidden="false" customHeight="false" outlineLevel="0" collapsed="false">
      <c r="A118" s="6" t="s">
        <v>102</v>
      </c>
      <c r="B118" s="6" t="s">
        <v>126</v>
      </c>
      <c r="C118" s="6" t="s">
        <v>51</v>
      </c>
      <c r="D118" s="6" t="s">
        <v>57</v>
      </c>
      <c r="E118" s="6" t="s">
        <v>42</v>
      </c>
      <c r="F118" s="6" t="s">
        <v>43</v>
      </c>
      <c r="G118" s="7" t="n">
        <v>6</v>
      </c>
      <c r="H118" s="7" t="n">
        <v>0</v>
      </c>
      <c r="I118" s="7" t="n">
        <v>0</v>
      </c>
      <c r="J118" s="7" t="n">
        <f aca="false">G118-H118-I118</f>
        <v>6</v>
      </c>
      <c r="K118" s="6" t="str">
        <f aca="false">IF(J118=0,"FULL",IF(J118&lt;=2,"Hampir Penuh","Tersedia"))</f>
        <v>Tersedia</v>
      </c>
      <c r="L118" s="6"/>
      <c r="M118" s="6"/>
    </row>
    <row r="119" customFormat="false" ht="15" hidden="false" customHeight="false" outlineLevel="0" collapsed="false">
      <c r="A119" s="6" t="s">
        <v>102</v>
      </c>
      <c r="B119" s="6" t="s">
        <v>126</v>
      </c>
      <c r="C119" s="6" t="s">
        <v>54</v>
      </c>
      <c r="D119" s="6" t="s">
        <v>59</v>
      </c>
      <c r="E119" s="6" t="s">
        <v>42</v>
      </c>
      <c r="F119" s="6" t="s">
        <v>43</v>
      </c>
      <c r="G119" s="7" t="n">
        <v>6</v>
      </c>
      <c r="H119" s="7" t="n">
        <v>0</v>
      </c>
      <c r="I119" s="7" t="n">
        <v>0</v>
      </c>
      <c r="J119" s="7" t="n">
        <f aca="false">G119-H119-I119</f>
        <v>6</v>
      </c>
      <c r="K119" s="6" t="str">
        <f aca="false">IF(J119=0,"FULL",IF(J119&lt;=2,"Hampir Penuh","Tersedia"))</f>
        <v>Tersedia</v>
      </c>
      <c r="L119" s="6"/>
      <c r="M119" s="6"/>
    </row>
    <row r="120" customFormat="false" ht="15" hidden="false" customHeight="false" outlineLevel="0" collapsed="false">
      <c r="A120" s="6" t="s">
        <v>102</v>
      </c>
      <c r="B120" s="6" t="s">
        <v>126</v>
      </c>
      <c r="C120" s="6" t="s">
        <v>56</v>
      </c>
      <c r="D120" s="6" t="s">
        <v>61</v>
      </c>
      <c r="E120" s="6" t="s">
        <v>42</v>
      </c>
      <c r="F120" s="6" t="s">
        <v>43</v>
      </c>
      <c r="G120" s="7" t="n">
        <v>6</v>
      </c>
      <c r="H120" s="7" t="n">
        <v>0</v>
      </c>
      <c r="I120" s="7" t="n">
        <v>0</v>
      </c>
      <c r="J120" s="7" t="n">
        <f aca="false">G120-H120-I120</f>
        <v>6</v>
      </c>
      <c r="K120" s="6" t="str">
        <f aca="false">IF(J120=0,"FULL",IF(J120&lt;=2,"Hampir Penuh","Tersedia"))</f>
        <v>Tersedia</v>
      </c>
      <c r="L120" s="6"/>
      <c r="M120" s="6"/>
    </row>
    <row r="121" customFormat="false" ht="15" hidden="false" customHeight="false" outlineLevel="0" collapsed="false">
      <c r="A121" s="6" t="s">
        <v>102</v>
      </c>
      <c r="B121" s="6" t="s">
        <v>126</v>
      </c>
      <c r="C121" s="6" t="s">
        <v>58</v>
      </c>
      <c r="D121" s="6" t="s">
        <v>59</v>
      </c>
      <c r="E121" s="6"/>
      <c r="F121" s="6" t="s">
        <v>43</v>
      </c>
      <c r="G121" s="7" t="n">
        <v>6</v>
      </c>
      <c r="H121" s="7" t="n">
        <v>0</v>
      </c>
      <c r="I121" s="7" t="n">
        <v>0</v>
      </c>
      <c r="J121" s="7" t="n">
        <f aca="false">G121-H121-I121</f>
        <v>6</v>
      </c>
      <c r="K121" s="6" t="str">
        <f aca="false">IF(J121=0,"FULL",IF(J121&lt;=2,"Hampir Penuh","Tersedia"))</f>
        <v>Tersedia</v>
      </c>
      <c r="L121" s="6"/>
      <c r="M121" s="6"/>
    </row>
    <row r="122" customFormat="false" ht="15" hidden="false" customHeight="false" outlineLevel="0" collapsed="false">
      <c r="A122" s="6" t="s">
        <v>102</v>
      </c>
      <c r="B122" s="6" t="s">
        <v>126</v>
      </c>
      <c r="C122" s="6" t="s">
        <v>60</v>
      </c>
      <c r="D122" s="6" t="s">
        <v>61</v>
      </c>
      <c r="E122" s="6"/>
      <c r="F122" s="6" t="s">
        <v>43</v>
      </c>
      <c r="G122" s="7" t="n">
        <v>6</v>
      </c>
      <c r="H122" s="7" t="n">
        <v>0</v>
      </c>
      <c r="I122" s="7" t="n">
        <v>0</v>
      </c>
      <c r="J122" s="7" t="n">
        <f aca="false">G122-H122-I122</f>
        <v>6</v>
      </c>
      <c r="K122" s="6" t="str">
        <f aca="false">IF(J122=0,"FULL",IF(J122&lt;=2,"Hampir Penuh","Tersedia"))</f>
        <v>Tersedia</v>
      </c>
      <c r="L122" s="6"/>
      <c r="M122" s="6"/>
    </row>
    <row r="123" customFormat="false" ht="15" hidden="false" customHeight="false" outlineLevel="0" collapsed="false">
      <c r="A123" s="6" t="s">
        <v>102</v>
      </c>
      <c r="B123" s="6" t="s">
        <v>126</v>
      </c>
      <c r="C123" s="6" t="s">
        <v>62</v>
      </c>
      <c r="D123" s="6"/>
      <c r="E123" s="6"/>
      <c r="F123" s="6" t="s">
        <v>43</v>
      </c>
      <c r="G123" s="7" t="n">
        <v>6</v>
      </c>
      <c r="H123" s="7" t="n">
        <v>0</v>
      </c>
      <c r="I123" s="7" t="n">
        <v>0</v>
      </c>
      <c r="J123" s="7" t="n">
        <f aca="false">G123-H123-I123</f>
        <v>6</v>
      </c>
      <c r="K123" s="6" t="str">
        <f aca="false">IF(J123=0,"FULL",IF(J123&lt;=2,"Hampir Penuh","Tersedia"))</f>
        <v>Tersedia</v>
      </c>
      <c r="L123" s="6"/>
      <c r="M123" s="6"/>
    </row>
    <row r="124" customFormat="false" ht="15" hidden="false" customHeight="false" outlineLevel="0" collapsed="false">
      <c r="A124" s="6" t="s">
        <v>102</v>
      </c>
      <c r="B124" s="6" t="s">
        <v>126</v>
      </c>
      <c r="C124" s="6" t="s">
        <v>63</v>
      </c>
      <c r="D124" s="6"/>
      <c r="E124" s="6"/>
      <c r="F124" s="6" t="s">
        <v>43</v>
      </c>
      <c r="G124" s="7" t="n">
        <v>6</v>
      </c>
      <c r="H124" s="7" t="n">
        <v>0</v>
      </c>
      <c r="I124" s="7" t="n">
        <v>0</v>
      </c>
      <c r="J124" s="7" t="n">
        <f aca="false">G124-H124-I124</f>
        <v>6</v>
      </c>
      <c r="K124" s="6" t="str">
        <f aca="false">IF(J124=0,"FULL",IF(J124&lt;=2,"Hampir Penuh","Tersedia"))</f>
        <v>Tersedia</v>
      </c>
      <c r="L124" s="6"/>
      <c r="M124" s="6"/>
    </row>
    <row r="125" customFormat="false" ht="15" hidden="false" customHeight="false" outlineLevel="0" collapsed="false">
      <c r="A125" s="6" t="s">
        <v>128</v>
      </c>
      <c r="B125" s="6" t="s">
        <v>103</v>
      </c>
      <c r="C125" s="6" t="s">
        <v>40</v>
      </c>
      <c r="D125" s="6" t="s">
        <v>41</v>
      </c>
      <c r="E125" s="6"/>
      <c r="F125" s="6" t="s">
        <v>43</v>
      </c>
      <c r="G125" s="7" t="n">
        <v>6</v>
      </c>
      <c r="H125" s="7" t="n">
        <v>0</v>
      </c>
      <c r="I125" s="7" t="n">
        <v>0</v>
      </c>
      <c r="J125" s="7" t="n">
        <f aca="false">G125-H125-I125</f>
        <v>6</v>
      </c>
      <c r="K125" s="6" t="str">
        <f aca="false">IF(J125=0,"FULL",IF(J125&lt;=2,"Hampir Penuh","Tersedia"))</f>
        <v>Tersedia</v>
      </c>
      <c r="L125" s="6"/>
      <c r="M125" s="6"/>
    </row>
    <row r="126" customFormat="false" ht="15" hidden="false" customHeight="false" outlineLevel="0" collapsed="false">
      <c r="A126" s="6" t="s">
        <v>128</v>
      </c>
      <c r="B126" s="6" t="s">
        <v>103</v>
      </c>
      <c r="C126" s="6" t="s">
        <v>45</v>
      </c>
      <c r="D126" s="6" t="s">
        <v>46</v>
      </c>
      <c r="E126" s="6"/>
      <c r="F126" s="6" t="s">
        <v>43</v>
      </c>
      <c r="G126" s="7" t="n">
        <v>6</v>
      </c>
      <c r="H126" s="7" t="n">
        <v>0</v>
      </c>
      <c r="I126" s="7" t="n">
        <v>0</v>
      </c>
      <c r="J126" s="7" t="n">
        <f aca="false">G126-H126-I126</f>
        <v>6</v>
      </c>
      <c r="K126" s="6" t="str">
        <f aca="false">IF(J126=0,"FULL",IF(J126&lt;=2,"Hampir Penuh","Tersedia"))</f>
        <v>Tersedia</v>
      </c>
      <c r="L126" s="6"/>
      <c r="M126" s="6"/>
    </row>
    <row r="127" customFormat="false" ht="15" hidden="false" customHeight="false" outlineLevel="0" collapsed="false">
      <c r="A127" s="6" t="s">
        <v>128</v>
      </c>
      <c r="B127" s="6" t="s">
        <v>103</v>
      </c>
      <c r="C127" s="6" t="s">
        <v>48</v>
      </c>
      <c r="D127" s="6" t="s">
        <v>49</v>
      </c>
      <c r="E127" s="6"/>
      <c r="F127" s="6" t="s">
        <v>43</v>
      </c>
      <c r="G127" s="7" t="n">
        <v>6</v>
      </c>
      <c r="H127" s="7" t="n">
        <v>0</v>
      </c>
      <c r="I127" s="7" t="n">
        <v>0</v>
      </c>
      <c r="J127" s="7" t="n">
        <f aca="false">G127-H127-I127</f>
        <v>6</v>
      </c>
      <c r="K127" s="6" t="str">
        <f aca="false">IF(J127=0,"FULL",IF(J127&lt;=2,"Hampir Penuh","Tersedia"))</f>
        <v>Tersedia</v>
      </c>
      <c r="L127" s="6"/>
      <c r="M127" s="6"/>
    </row>
    <row r="128" customFormat="false" ht="15" hidden="false" customHeight="false" outlineLevel="0" collapsed="false">
      <c r="A128" s="6" t="s">
        <v>128</v>
      </c>
      <c r="B128" s="6" t="s">
        <v>103</v>
      </c>
      <c r="C128" s="6" t="s">
        <v>51</v>
      </c>
      <c r="D128" s="6" t="s">
        <v>52</v>
      </c>
      <c r="E128" s="6"/>
      <c r="F128" s="6" t="s">
        <v>43</v>
      </c>
      <c r="G128" s="7" t="n">
        <v>6</v>
      </c>
      <c r="H128" s="7" t="n">
        <v>0</v>
      </c>
      <c r="I128" s="7" t="n">
        <v>0</v>
      </c>
      <c r="J128" s="7" t="n">
        <f aca="false">G128-H128-I128</f>
        <v>6</v>
      </c>
      <c r="K128" s="6" t="str">
        <f aca="false">IF(J128=0,"FULL",IF(J128&lt;=2,"Hampir Penuh","Tersedia"))</f>
        <v>Tersedia</v>
      </c>
      <c r="L128" s="6"/>
      <c r="M128" s="6"/>
    </row>
    <row r="129" customFormat="false" ht="15" hidden="false" customHeight="false" outlineLevel="0" collapsed="false">
      <c r="A129" s="6" t="s">
        <v>128</v>
      </c>
      <c r="B129" s="6" t="s">
        <v>103</v>
      </c>
      <c r="C129" s="6" t="s">
        <v>54</v>
      </c>
      <c r="D129" s="6" t="s">
        <v>55</v>
      </c>
      <c r="E129" s="6"/>
      <c r="F129" s="6" t="s">
        <v>43</v>
      </c>
      <c r="G129" s="7" t="n">
        <v>6</v>
      </c>
      <c r="H129" s="7" t="n">
        <v>0</v>
      </c>
      <c r="I129" s="7" t="n">
        <v>0</v>
      </c>
      <c r="J129" s="7" t="n">
        <f aca="false">G129-H129-I129</f>
        <v>6</v>
      </c>
      <c r="K129" s="6" t="str">
        <f aca="false">IF(J129=0,"FULL",IF(J129&lt;=2,"Hampir Penuh","Tersedia"))</f>
        <v>Tersedia</v>
      </c>
      <c r="L129" s="6"/>
      <c r="M129" s="6"/>
    </row>
    <row r="130" customFormat="false" ht="15" hidden="false" customHeight="false" outlineLevel="0" collapsed="false">
      <c r="A130" s="6" t="s">
        <v>128</v>
      </c>
      <c r="B130" s="6" t="s">
        <v>103</v>
      </c>
      <c r="C130" s="6" t="s">
        <v>56</v>
      </c>
      <c r="D130" s="6" t="s">
        <v>57</v>
      </c>
      <c r="E130" s="6"/>
      <c r="F130" s="6" t="s">
        <v>43</v>
      </c>
      <c r="G130" s="7" t="n">
        <v>6</v>
      </c>
      <c r="H130" s="7" t="n">
        <v>0</v>
      </c>
      <c r="I130" s="7" t="n">
        <v>0</v>
      </c>
      <c r="J130" s="7" t="n">
        <f aca="false">G130-H130-I130</f>
        <v>6</v>
      </c>
      <c r="K130" s="6" t="str">
        <f aca="false">IF(J130=0,"FULL",IF(J130&lt;=2,"Hampir Penuh","Tersedia"))</f>
        <v>Tersedia</v>
      </c>
      <c r="L130" s="6"/>
      <c r="M130" s="6"/>
    </row>
    <row r="131" customFormat="false" ht="15" hidden="false" customHeight="false" outlineLevel="0" collapsed="false">
      <c r="A131" s="6" t="s">
        <v>128</v>
      </c>
      <c r="B131" s="6" t="s">
        <v>103</v>
      </c>
      <c r="C131" s="6" t="s">
        <v>58</v>
      </c>
      <c r="D131" s="6" t="s">
        <v>59</v>
      </c>
      <c r="E131" s="6"/>
      <c r="F131" s="6" t="s">
        <v>43</v>
      </c>
      <c r="G131" s="7" t="n">
        <v>6</v>
      </c>
      <c r="H131" s="7" t="n">
        <v>0</v>
      </c>
      <c r="I131" s="7" t="n">
        <v>0</v>
      </c>
      <c r="J131" s="7" t="n">
        <f aca="false">G131-H131-I131</f>
        <v>6</v>
      </c>
      <c r="K131" s="6" t="str">
        <f aca="false">IF(J131=0,"FULL",IF(J131&lt;=2,"Hampir Penuh","Tersedia"))</f>
        <v>Tersedia</v>
      </c>
      <c r="L131" s="6"/>
      <c r="M131" s="6"/>
    </row>
    <row r="132" customFormat="false" ht="15" hidden="false" customHeight="false" outlineLevel="0" collapsed="false">
      <c r="A132" s="6" t="s">
        <v>128</v>
      </c>
      <c r="B132" s="6" t="s">
        <v>103</v>
      </c>
      <c r="C132" s="6" t="s">
        <v>60</v>
      </c>
      <c r="D132" s="6" t="s">
        <v>61</v>
      </c>
      <c r="E132" s="6"/>
      <c r="F132" s="6" t="s">
        <v>43</v>
      </c>
      <c r="G132" s="7" t="n">
        <v>6</v>
      </c>
      <c r="H132" s="7" t="n">
        <v>0</v>
      </c>
      <c r="I132" s="7" t="n">
        <v>0</v>
      </c>
      <c r="J132" s="7" t="n">
        <f aca="false">G132-H132-I132</f>
        <v>6</v>
      </c>
      <c r="K132" s="6" t="str">
        <f aca="false">IF(J132=0,"FULL",IF(J132&lt;=2,"Hampir Penuh","Tersedia"))</f>
        <v>Tersedia</v>
      </c>
      <c r="L132" s="6"/>
      <c r="M132" s="6"/>
    </row>
    <row r="133" customFormat="false" ht="15" hidden="false" customHeight="false" outlineLevel="0" collapsed="false">
      <c r="A133" s="6" t="s">
        <v>128</v>
      </c>
      <c r="B133" s="6" t="s">
        <v>103</v>
      </c>
      <c r="C133" s="6" t="s">
        <v>62</v>
      </c>
      <c r="D133" s="6"/>
      <c r="E133" s="6"/>
      <c r="F133" s="6" t="s">
        <v>43</v>
      </c>
      <c r="G133" s="7" t="n">
        <v>6</v>
      </c>
      <c r="H133" s="7" t="n">
        <v>0</v>
      </c>
      <c r="I133" s="7" t="n">
        <v>0</v>
      </c>
      <c r="J133" s="7" t="n">
        <f aca="false">G133-H133-I133</f>
        <v>6</v>
      </c>
      <c r="K133" s="6" t="str">
        <f aca="false">IF(J133=0,"FULL",IF(J133&lt;=2,"Hampir Penuh","Tersedia"))</f>
        <v>Tersedia</v>
      </c>
      <c r="L133" s="6"/>
      <c r="M133" s="6"/>
    </row>
    <row r="134" customFormat="false" ht="15" hidden="false" customHeight="false" outlineLevel="0" collapsed="false">
      <c r="A134" s="6" t="s">
        <v>128</v>
      </c>
      <c r="B134" s="6" t="s">
        <v>103</v>
      </c>
      <c r="C134" s="6" t="s">
        <v>63</v>
      </c>
      <c r="D134" s="6"/>
      <c r="E134" s="6"/>
      <c r="F134" s="6" t="s">
        <v>43</v>
      </c>
      <c r="G134" s="7" t="n">
        <v>6</v>
      </c>
      <c r="H134" s="7" t="n">
        <v>0</v>
      </c>
      <c r="I134" s="7" t="n">
        <v>0</v>
      </c>
      <c r="J134" s="7" t="n">
        <f aca="false">G134-H134-I134</f>
        <v>6</v>
      </c>
      <c r="K134" s="6" t="str">
        <f aca="false">IF(J134=0,"FULL",IF(J134&lt;=2,"Hampir Penuh","Tersedia"))</f>
        <v>Tersedia</v>
      </c>
      <c r="L134" s="6"/>
      <c r="M134" s="6"/>
    </row>
    <row r="135" customFormat="false" ht="15" hidden="false" customHeight="false" outlineLevel="0" collapsed="false">
      <c r="A135" s="6" t="s">
        <v>128</v>
      </c>
      <c r="B135" s="6" t="s">
        <v>109</v>
      </c>
      <c r="C135" s="6" t="s">
        <v>40</v>
      </c>
      <c r="D135" s="6" t="s">
        <v>41</v>
      </c>
      <c r="E135" s="6"/>
      <c r="F135" s="6" t="s">
        <v>43</v>
      </c>
      <c r="G135" s="7" t="n">
        <v>6</v>
      </c>
      <c r="H135" s="7" t="n">
        <v>0</v>
      </c>
      <c r="I135" s="7" t="n">
        <v>0</v>
      </c>
      <c r="J135" s="7" t="n">
        <f aca="false">G135-H135-I135</f>
        <v>6</v>
      </c>
      <c r="K135" s="6" t="str">
        <f aca="false">IF(J135=0,"FULL",IF(J135&lt;=2,"Hampir Penuh","Tersedia"))</f>
        <v>Tersedia</v>
      </c>
      <c r="L135" s="6"/>
      <c r="M135" s="6"/>
    </row>
    <row r="136" customFormat="false" ht="15" hidden="false" customHeight="false" outlineLevel="0" collapsed="false">
      <c r="A136" s="6" t="s">
        <v>128</v>
      </c>
      <c r="B136" s="6" t="s">
        <v>109</v>
      </c>
      <c r="C136" s="6" t="s">
        <v>45</v>
      </c>
      <c r="D136" s="6" t="s">
        <v>46</v>
      </c>
      <c r="E136" s="6"/>
      <c r="F136" s="6" t="s">
        <v>43</v>
      </c>
      <c r="G136" s="7" t="n">
        <v>6</v>
      </c>
      <c r="H136" s="7" t="n">
        <v>0</v>
      </c>
      <c r="I136" s="7" t="n">
        <v>0</v>
      </c>
      <c r="J136" s="7" t="n">
        <f aca="false">G136-H136-I136</f>
        <v>6</v>
      </c>
      <c r="K136" s="6" t="str">
        <f aca="false">IF(J136=0,"FULL",IF(J136&lt;=2,"Hampir Penuh","Tersedia"))</f>
        <v>Tersedia</v>
      </c>
      <c r="L136" s="6"/>
      <c r="M136" s="6"/>
    </row>
    <row r="137" customFormat="false" ht="15" hidden="false" customHeight="false" outlineLevel="0" collapsed="false">
      <c r="A137" s="6" t="s">
        <v>128</v>
      </c>
      <c r="B137" s="6" t="s">
        <v>109</v>
      </c>
      <c r="C137" s="6" t="s">
        <v>48</v>
      </c>
      <c r="D137" s="6" t="s">
        <v>49</v>
      </c>
      <c r="E137" s="6"/>
      <c r="F137" s="6" t="s">
        <v>43</v>
      </c>
      <c r="G137" s="7" t="n">
        <v>6</v>
      </c>
      <c r="H137" s="7" t="n">
        <v>0</v>
      </c>
      <c r="I137" s="7" t="n">
        <v>0</v>
      </c>
      <c r="J137" s="7" t="n">
        <f aca="false">G137-H137-I137</f>
        <v>6</v>
      </c>
      <c r="K137" s="6" t="str">
        <f aca="false">IF(J137=0,"FULL",IF(J137&lt;=2,"Hampir Penuh","Tersedia"))</f>
        <v>Tersedia</v>
      </c>
      <c r="L137" s="6"/>
      <c r="M137" s="6"/>
    </row>
    <row r="138" customFormat="false" ht="15" hidden="false" customHeight="false" outlineLevel="0" collapsed="false">
      <c r="A138" s="6" t="s">
        <v>128</v>
      </c>
      <c r="B138" s="6" t="s">
        <v>109</v>
      </c>
      <c r="C138" s="6" t="s">
        <v>51</v>
      </c>
      <c r="D138" s="6" t="s">
        <v>52</v>
      </c>
      <c r="E138" s="6"/>
      <c r="F138" s="6" t="s">
        <v>43</v>
      </c>
      <c r="G138" s="7" t="n">
        <v>6</v>
      </c>
      <c r="H138" s="7" t="n">
        <v>0</v>
      </c>
      <c r="I138" s="7" t="n">
        <v>0</v>
      </c>
      <c r="J138" s="7" t="n">
        <f aca="false">G138-H138-I138</f>
        <v>6</v>
      </c>
      <c r="K138" s="6" t="str">
        <f aca="false">IF(J138=0,"FULL",IF(J138&lt;=2,"Hampir Penuh","Tersedia"))</f>
        <v>Tersedia</v>
      </c>
      <c r="L138" s="6"/>
      <c r="M138" s="6"/>
    </row>
    <row r="139" customFormat="false" ht="15" hidden="false" customHeight="false" outlineLevel="0" collapsed="false">
      <c r="A139" s="6" t="s">
        <v>128</v>
      </c>
      <c r="B139" s="6" t="s">
        <v>109</v>
      </c>
      <c r="C139" s="6" t="s">
        <v>54</v>
      </c>
      <c r="D139" s="6" t="s">
        <v>55</v>
      </c>
      <c r="E139" s="6"/>
      <c r="F139" s="6" t="s">
        <v>43</v>
      </c>
      <c r="G139" s="7" t="n">
        <v>6</v>
      </c>
      <c r="H139" s="7" t="n">
        <v>0</v>
      </c>
      <c r="I139" s="7" t="n">
        <v>0</v>
      </c>
      <c r="J139" s="7" t="n">
        <f aca="false">G139-H139-I139</f>
        <v>6</v>
      </c>
      <c r="K139" s="6" t="str">
        <f aca="false">IF(J139=0,"FULL",IF(J139&lt;=2,"Hampir Penuh","Tersedia"))</f>
        <v>Tersedia</v>
      </c>
      <c r="L139" s="6"/>
      <c r="M139" s="6"/>
    </row>
    <row r="140" customFormat="false" ht="15" hidden="false" customHeight="false" outlineLevel="0" collapsed="false">
      <c r="A140" s="6" t="s">
        <v>128</v>
      </c>
      <c r="B140" s="6" t="s">
        <v>109</v>
      </c>
      <c r="C140" s="6" t="s">
        <v>56</v>
      </c>
      <c r="D140" s="6" t="s">
        <v>57</v>
      </c>
      <c r="E140" s="6"/>
      <c r="F140" s="6" t="s">
        <v>43</v>
      </c>
      <c r="G140" s="7" t="n">
        <v>6</v>
      </c>
      <c r="H140" s="7" t="n">
        <v>0</v>
      </c>
      <c r="I140" s="7" t="n">
        <v>0</v>
      </c>
      <c r="J140" s="7" t="n">
        <f aca="false">G140-H140-I140</f>
        <v>6</v>
      </c>
      <c r="K140" s="6" t="str">
        <f aca="false">IF(J140=0,"FULL",IF(J140&lt;=2,"Hampir Penuh","Tersedia"))</f>
        <v>Tersedia</v>
      </c>
      <c r="L140" s="6"/>
      <c r="M140" s="6"/>
    </row>
    <row r="141" customFormat="false" ht="15" hidden="false" customHeight="false" outlineLevel="0" collapsed="false">
      <c r="A141" s="6" t="s">
        <v>128</v>
      </c>
      <c r="B141" s="6" t="s">
        <v>109</v>
      </c>
      <c r="C141" s="6" t="s">
        <v>58</v>
      </c>
      <c r="D141" s="6" t="s">
        <v>59</v>
      </c>
      <c r="E141" s="6"/>
      <c r="F141" s="6" t="s">
        <v>43</v>
      </c>
      <c r="G141" s="7" t="n">
        <v>6</v>
      </c>
      <c r="H141" s="7" t="n">
        <v>0</v>
      </c>
      <c r="I141" s="7" t="n">
        <v>0</v>
      </c>
      <c r="J141" s="7" t="n">
        <f aca="false">G141-H141-I141</f>
        <v>6</v>
      </c>
      <c r="K141" s="6" t="str">
        <f aca="false">IF(J141=0,"FULL",IF(J141&lt;=2,"Hampir Penuh","Tersedia"))</f>
        <v>Tersedia</v>
      </c>
      <c r="L141" s="6"/>
      <c r="M141" s="6"/>
    </row>
    <row r="142" customFormat="false" ht="15" hidden="false" customHeight="false" outlineLevel="0" collapsed="false">
      <c r="A142" s="6" t="s">
        <v>128</v>
      </c>
      <c r="B142" s="6" t="s">
        <v>109</v>
      </c>
      <c r="C142" s="6" t="s">
        <v>60</v>
      </c>
      <c r="D142" s="6" t="s">
        <v>61</v>
      </c>
      <c r="E142" s="6"/>
      <c r="F142" s="6" t="s">
        <v>43</v>
      </c>
      <c r="G142" s="7" t="n">
        <v>6</v>
      </c>
      <c r="H142" s="7" t="n">
        <v>0</v>
      </c>
      <c r="I142" s="7" t="n">
        <v>0</v>
      </c>
      <c r="J142" s="7" t="n">
        <f aca="false">G142-H142-I142</f>
        <v>6</v>
      </c>
      <c r="K142" s="6" t="str">
        <f aca="false">IF(J142=0,"FULL",IF(J142&lt;=2,"Hampir Penuh","Tersedia"))</f>
        <v>Tersedia</v>
      </c>
      <c r="L142" s="6"/>
      <c r="M142" s="6"/>
    </row>
    <row r="143" customFormat="false" ht="15" hidden="false" customHeight="false" outlineLevel="0" collapsed="false">
      <c r="A143" s="6" t="s">
        <v>128</v>
      </c>
      <c r="B143" s="6" t="s">
        <v>109</v>
      </c>
      <c r="C143" s="6" t="s">
        <v>62</v>
      </c>
      <c r="D143" s="6"/>
      <c r="E143" s="6"/>
      <c r="F143" s="6" t="s">
        <v>43</v>
      </c>
      <c r="G143" s="7" t="n">
        <v>6</v>
      </c>
      <c r="H143" s="7" t="n">
        <v>0</v>
      </c>
      <c r="I143" s="7" t="n">
        <v>0</v>
      </c>
      <c r="J143" s="7" t="n">
        <f aca="false">G143-H143-I143</f>
        <v>6</v>
      </c>
      <c r="K143" s="6" t="str">
        <f aca="false">IF(J143=0,"FULL",IF(J143&lt;=2,"Hampir Penuh","Tersedia"))</f>
        <v>Tersedia</v>
      </c>
      <c r="L143" s="6"/>
      <c r="M143" s="6"/>
    </row>
    <row r="144" customFormat="false" ht="15" hidden="false" customHeight="false" outlineLevel="0" collapsed="false">
      <c r="A144" s="6" t="s">
        <v>128</v>
      </c>
      <c r="B144" s="6" t="s">
        <v>109</v>
      </c>
      <c r="C144" s="6" t="s">
        <v>63</v>
      </c>
      <c r="D144" s="6"/>
      <c r="E144" s="6"/>
      <c r="F144" s="6" t="s">
        <v>43</v>
      </c>
      <c r="G144" s="7" t="n">
        <v>6</v>
      </c>
      <c r="H144" s="7" t="n">
        <v>0</v>
      </c>
      <c r="I144" s="7" t="n">
        <v>0</v>
      </c>
      <c r="J144" s="7" t="n">
        <f aca="false">G144-H144-I144</f>
        <v>6</v>
      </c>
      <c r="K144" s="6" t="str">
        <f aca="false">IF(J144=0,"FULL",IF(J144&lt;=2,"Hampir Penuh","Tersedia"))</f>
        <v>Tersedia</v>
      </c>
      <c r="L144" s="6"/>
      <c r="M144" s="6"/>
    </row>
    <row r="145" customFormat="false" ht="15" hidden="false" customHeight="false" outlineLevel="0" collapsed="false">
      <c r="A145" s="6" t="s">
        <v>128</v>
      </c>
      <c r="B145" s="6" t="s">
        <v>115</v>
      </c>
      <c r="C145" s="6" t="s">
        <v>40</v>
      </c>
      <c r="D145" s="6" t="s">
        <v>41</v>
      </c>
      <c r="E145" s="6"/>
      <c r="F145" s="6" t="s">
        <v>43</v>
      </c>
      <c r="G145" s="7" t="n">
        <v>6</v>
      </c>
      <c r="H145" s="7" t="n">
        <v>0</v>
      </c>
      <c r="I145" s="7" t="n">
        <v>0</v>
      </c>
      <c r="J145" s="7" t="n">
        <f aca="false">G145-H145-I145</f>
        <v>6</v>
      </c>
      <c r="K145" s="6" t="str">
        <f aca="false">IF(J145=0,"FULL",IF(J145&lt;=2,"Hampir Penuh","Tersedia"))</f>
        <v>Tersedia</v>
      </c>
      <c r="L145" s="6"/>
      <c r="M145" s="6"/>
    </row>
    <row r="146" customFormat="false" ht="15" hidden="false" customHeight="false" outlineLevel="0" collapsed="false">
      <c r="A146" s="6" t="s">
        <v>128</v>
      </c>
      <c r="B146" s="6" t="s">
        <v>115</v>
      </c>
      <c r="C146" s="6" t="s">
        <v>45</v>
      </c>
      <c r="D146" s="6" t="s">
        <v>46</v>
      </c>
      <c r="E146" s="6"/>
      <c r="F146" s="6" t="s">
        <v>43</v>
      </c>
      <c r="G146" s="7" t="n">
        <v>6</v>
      </c>
      <c r="H146" s="7" t="n">
        <v>0</v>
      </c>
      <c r="I146" s="7" t="n">
        <v>0</v>
      </c>
      <c r="J146" s="7" t="n">
        <f aca="false">G146-H146-I146</f>
        <v>6</v>
      </c>
      <c r="K146" s="6" t="str">
        <f aca="false">IF(J146=0,"FULL",IF(J146&lt;=2,"Hampir Penuh","Tersedia"))</f>
        <v>Tersedia</v>
      </c>
      <c r="L146" s="6"/>
      <c r="M146" s="6"/>
    </row>
    <row r="147" customFormat="false" ht="15" hidden="false" customHeight="false" outlineLevel="0" collapsed="false">
      <c r="A147" s="6" t="s">
        <v>128</v>
      </c>
      <c r="B147" s="6" t="s">
        <v>115</v>
      </c>
      <c r="C147" s="6" t="s">
        <v>48</v>
      </c>
      <c r="D147" s="6" t="s">
        <v>49</v>
      </c>
      <c r="E147" s="6"/>
      <c r="F147" s="6" t="s">
        <v>43</v>
      </c>
      <c r="G147" s="7" t="n">
        <v>6</v>
      </c>
      <c r="H147" s="7" t="n">
        <v>0</v>
      </c>
      <c r="I147" s="7" t="n">
        <v>0</v>
      </c>
      <c r="J147" s="7" t="n">
        <f aca="false">G147-H147-I147</f>
        <v>6</v>
      </c>
      <c r="K147" s="6" t="str">
        <f aca="false">IF(J147=0,"FULL",IF(J147&lt;=2,"Hampir Penuh","Tersedia"))</f>
        <v>Tersedia</v>
      </c>
      <c r="L147" s="6"/>
      <c r="M147" s="6"/>
    </row>
    <row r="148" customFormat="false" ht="15" hidden="false" customHeight="false" outlineLevel="0" collapsed="false">
      <c r="A148" s="6" t="s">
        <v>128</v>
      </c>
      <c r="B148" s="6" t="s">
        <v>115</v>
      </c>
      <c r="C148" s="6" t="s">
        <v>51</v>
      </c>
      <c r="D148" s="6" t="s">
        <v>52</v>
      </c>
      <c r="E148" s="6"/>
      <c r="F148" s="6" t="s">
        <v>43</v>
      </c>
      <c r="G148" s="7" t="n">
        <v>6</v>
      </c>
      <c r="H148" s="7" t="n">
        <v>0</v>
      </c>
      <c r="I148" s="7" t="n">
        <v>0</v>
      </c>
      <c r="J148" s="7" t="n">
        <f aca="false">G148-H148-I148</f>
        <v>6</v>
      </c>
      <c r="K148" s="6" t="str">
        <f aca="false">IF(J148=0,"FULL",IF(J148&lt;=2,"Hampir Penuh","Tersedia"))</f>
        <v>Tersedia</v>
      </c>
      <c r="L148" s="6"/>
      <c r="M148" s="6"/>
    </row>
    <row r="149" customFormat="false" ht="15" hidden="false" customHeight="false" outlineLevel="0" collapsed="false">
      <c r="A149" s="6" t="s">
        <v>128</v>
      </c>
      <c r="B149" s="6" t="s">
        <v>115</v>
      </c>
      <c r="C149" s="6" t="s">
        <v>54</v>
      </c>
      <c r="D149" s="6" t="s">
        <v>55</v>
      </c>
      <c r="E149" s="6"/>
      <c r="F149" s="6" t="s">
        <v>43</v>
      </c>
      <c r="G149" s="7" t="n">
        <v>6</v>
      </c>
      <c r="H149" s="7" t="n">
        <v>0</v>
      </c>
      <c r="I149" s="7" t="n">
        <v>0</v>
      </c>
      <c r="J149" s="7" t="n">
        <f aca="false">G149-H149-I149</f>
        <v>6</v>
      </c>
      <c r="K149" s="6" t="str">
        <f aca="false">IF(J149=0,"FULL",IF(J149&lt;=2,"Hampir Penuh","Tersedia"))</f>
        <v>Tersedia</v>
      </c>
      <c r="L149" s="6"/>
      <c r="M149" s="6"/>
    </row>
    <row r="150" customFormat="false" ht="15" hidden="false" customHeight="false" outlineLevel="0" collapsed="false">
      <c r="A150" s="6" t="s">
        <v>128</v>
      </c>
      <c r="B150" s="6" t="s">
        <v>115</v>
      </c>
      <c r="C150" s="6" t="s">
        <v>56</v>
      </c>
      <c r="D150" s="6" t="s">
        <v>57</v>
      </c>
      <c r="E150" s="6"/>
      <c r="F150" s="6" t="s">
        <v>43</v>
      </c>
      <c r="G150" s="7" t="n">
        <v>6</v>
      </c>
      <c r="H150" s="7" t="n">
        <v>0</v>
      </c>
      <c r="I150" s="7" t="n">
        <v>0</v>
      </c>
      <c r="J150" s="7" t="n">
        <f aca="false">G150-H150-I150</f>
        <v>6</v>
      </c>
      <c r="K150" s="6" t="str">
        <f aca="false">IF(J150=0,"FULL",IF(J150&lt;=2,"Hampir Penuh","Tersedia"))</f>
        <v>Tersedia</v>
      </c>
      <c r="L150" s="6"/>
      <c r="M150" s="6"/>
    </row>
    <row r="151" customFormat="false" ht="15" hidden="false" customHeight="false" outlineLevel="0" collapsed="false">
      <c r="A151" s="6" t="s">
        <v>128</v>
      </c>
      <c r="B151" s="6" t="s">
        <v>115</v>
      </c>
      <c r="C151" s="6" t="s">
        <v>58</v>
      </c>
      <c r="D151" s="6" t="s">
        <v>59</v>
      </c>
      <c r="E151" s="6"/>
      <c r="F151" s="6" t="s">
        <v>43</v>
      </c>
      <c r="G151" s="7" t="n">
        <v>6</v>
      </c>
      <c r="H151" s="7" t="n">
        <v>0</v>
      </c>
      <c r="I151" s="7" t="n">
        <v>0</v>
      </c>
      <c r="J151" s="7" t="n">
        <f aca="false">G151-H151-I151</f>
        <v>6</v>
      </c>
      <c r="K151" s="6" t="str">
        <f aca="false">IF(J151=0,"FULL",IF(J151&lt;=2,"Hampir Penuh","Tersedia"))</f>
        <v>Tersedia</v>
      </c>
      <c r="L151" s="6"/>
      <c r="M151" s="6"/>
    </row>
    <row r="152" customFormat="false" ht="15" hidden="false" customHeight="false" outlineLevel="0" collapsed="false">
      <c r="A152" s="6" t="s">
        <v>128</v>
      </c>
      <c r="B152" s="6" t="s">
        <v>115</v>
      </c>
      <c r="C152" s="6" t="s">
        <v>60</v>
      </c>
      <c r="D152" s="6" t="s">
        <v>61</v>
      </c>
      <c r="E152" s="6"/>
      <c r="F152" s="6" t="s">
        <v>43</v>
      </c>
      <c r="G152" s="7" t="n">
        <v>6</v>
      </c>
      <c r="H152" s="7" t="n">
        <v>0</v>
      </c>
      <c r="I152" s="7" t="n">
        <v>0</v>
      </c>
      <c r="J152" s="7" t="n">
        <f aca="false">G152-H152-I152</f>
        <v>6</v>
      </c>
      <c r="K152" s="6" t="str">
        <f aca="false">IF(J152=0,"FULL",IF(J152&lt;=2,"Hampir Penuh","Tersedia"))</f>
        <v>Tersedia</v>
      </c>
      <c r="L152" s="6"/>
      <c r="M152" s="6"/>
    </row>
    <row r="153" customFormat="false" ht="15" hidden="false" customHeight="false" outlineLevel="0" collapsed="false">
      <c r="A153" s="6" t="s">
        <v>128</v>
      </c>
      <c r="B153" s="6" t="s">
        <v>115</v>
      </c>
      <c r="C153" s="6" t="s">
        <v>62</v>
      </c>
      <c r="D153" s="6"/>
      <c r="E153" s="6"/>
      <c r="F153" s="6" t="s">
        <v>43</v>
      </c>
      <c r="G153" s="7" t="n">
        <v>6</v>
      </c>
      <c r="H153" s="7" t="n">
        <v>0</v>
      </c>
      <c r="I153" s="7" t="n">
        <v>0</v>
      </c>
      <c r="J153" s="7" t="n">
        <f aca="false">G153-H153-I153</f>
        <v>6</v>
      </c>
      <c r="K153" s="6" t="str">
        <f aca="false">IF(J153=0,"FULL",IF(J153&lt;=2,"Hampir Penuh","Tersedia"))</f>
        <v>Tersedia</v>
      </c>
      <c r="L153" s="6"/>
      <c r="M153" s="6"/>
    </row>
    <row r="154" customFormat="false" ht="15" hidden="false" customHeight="false" outlineLevel="0" collapsed="false">
      <c r="A154" s="6" t="s">
        <v>128</v>
      </c>
      <c r="B154" s="6" t="s">
        <v>115</v>
      </c>
      <c r="C154" s="6" t="s">
        <v>63</v>
      </c>
      <c r="D154" s="6"/>
      <c r="E154" s="6"/>
      <c r="F154" s="6" t="s">
        <v>43</v>
      </c>
      <c r="G154" s="7" t="n">
        <v>6</v>
      </c>
      <c r="H154" s="7" t="n">
        <v>0</v>
      </c>
      <c r="I154" s="7" t="n">
        <v>0</v>
      </c>
      <c r="J154" s="7" t="n">
        <f aca="false">G154-H154-I154</f>
        <v>6</v>
      </c>
      <c r="K154" s="6" t="str">
        <f aca="false">IF(J154=0,"FULL",IF(J154&lt;=2,"Hampir Penuh","Tersedia"))</f>
        <v>Tersedia</v>
      </c>
      <c r="L154" s="6"/>
      <c r="M154" s="6"/>
    </row>
    <row r="155" customFormat="false" ht="15" hidden="false" customHeight="false" outlineLevel="0" collapsed="false">
      <c r="A155" s="6" t="s">
        <v>128</v>
      </c>
      <c r="B155" s="6" t="s">
        <v>119</v>
      </c>
      <c r="C155" s="6" t="s">
        <v>40</v>
      </c>
      <c r="D155" s="6" t="s">
        <v>41</v>
      </c>
      <c r="E155" s="6"/>
      <c r="F155" s="6" t="s">
        <v>43</v>
      </c>
      <c r="G155" s="7" t="n">
        <v>6</v>
      </c>
      <c r="H155" s="7" t="n">
        <v>0</v>
      </c>
      <c r="I155" s="7" t="n">
        <v>0</v>
      </c>
      <c r="J155" s="7" t="n">
        <f aca="false">G155-H155-I155</f>
        <v>6</v>
      </c>
      <c r="K155" s="6" t="str">
        <f aca="false">IF(J155=0,"FULL",IF(J155&lt;=2,"Hampir Penuh","Tersedia"))</f>
        <v>Tersedia</v>
      </c>
      <c r="L155" s="6"/>
      <c r="M155" s="6"/>
    </row>
    <row r="156" customFormat="false" ht="15" hidden="false" customHeight="false" outlineLevel="0" collapsed="false">
      <c r="A156" s="6" t="s">
        <v>128</v>
      </c>
      <c r="B156" s="6" t="s">
        <v>119</v>
      </c>
      <c r="C156" s="6" t="s">
        <v>45</v>
      </c>
      <c r="D156" s="6" t="s">
        <v>46</v>
      </c>
      <c r="E156" s="6"/>
      <c r="F156" s="6" t="s">
        <v>43</v>
      </c>
      <c r="G156" s="7" t="n">
        <v>6</v>
      </c>
      <c r="H156" s="7" t="n">
        <v>0</v>
      </c>
      <c r="I156" s="7" t="n">
        <v>0</v>
      </c>
      <c r="J156" s="7" t="n">
        <f aca="false">G156-H156-I156</f>
        <v>6</v>
      </c>
      <c r="K156" s="6" t="str">
        <f aca="false">IF(J156=0,"FULL",IF(J156&lt;=2,"Hampir Penuh","Tersedia"))</f>
        <v>Tersedia</v>
      </c>
      <c r="L156" s="6"/>
      <c r="M156" s="6"/>
    </row>
    <row r="157" customFormat="false" ht="15" hidden="false" customHeight="false" outlineLevel="0" collapsed="false">
      <c r="A157" s="6" t="s">
        <v>128</v>
      </c>
      <c r="B157" s="6" t="s">
        <v>119</v>
      </c>
      <c r="C157" s="6" t="s">
        <v>48</v>
      </c>
      <c r="D157" s="6" t="s">
        <v>49</v>
      </c>
      <c r="E157" s="6"/>
      <c r="F157" s="6" t="s">
        <v>43</v>
      </c>
      <c r="G157" s="7" t="n">
        <v>6</v>
      </c>
      <c r="H157" s="7" t="n">
        <v>0</v>
      </c>
      <c r="I157" s="7" t="n">
        <v>0</v>
      </c>
      <c r="J157" s="7" t="n">
        <f aca="false">G157-H157-I157</f>
        <v>6</v>
      </c>
      <c r="K157" s="6" t="str">
        <f aca="false">IF(J157=0,"FULL",IF(J157&lt;=2,"Hampir Penuh","Tersedia"))</f>
        <v>Tersedia</v>
      </c>
      <c r="L157" s="6"/>
      <c r="M157" s="6"/>
    </row>
    <row r="158" customFormat="false" ht="15" hidden="false" customHeight="false" outlineLevel="0" collapsed="false">
      <c r="A158" s="6" t="s">
        <v>128</v>
      </c>
      <c r="B158" s="6" t="s">
        <v>119</v>
      </c>
      <c r="C158" s="6" t="s">
        <v>51</v>
      </c>
      <c r="D158" s="6" t="s">
        <v>52</v>
      </c>
      <c r="E158" s="6"/>
      <c r="F158" s="6" t="s">
        <v>43</v>
      </c>
      <c r="G158" s="7" t="n">
        <v>6</v>
      </c>
      <c r="H158" s="7" t="n">
        <v>0</v>
      </c>
      <c r="I158" s="7" t="n">
        <v>0</v>
      </c>
      <c r="J158" s="7" t="n">
        <f aca="false">G158-H158-I158</f>
        <v>6</v>
      </c>
      <c r="K158" s="6" t="str">
        <f aca="false">IF(J158=0,"FULL",IF(J158&lt;=2,"Hampir Penuh","Tersedia"))</f>
        <v>Tersedia</v>
      </c>
      <c r="L158" s="6"/>
      <c r="M158" s="6"/>
    </row>
    <row r="159" customFormat="false" ht="15" hidden="false" customHeight="false" outlineLevel="0" collapsed="false">
      <c r="A159" s="6" t="s">
        <v>128</v>
      </c>
      <c r="B159" s="6" t="s">
        <v>119</v>
      </c>
      <c r="C159" s="6" t="s">
        <v>54</v>
      </c>
      <c r="D159" s="6" t="s">
        <v>55</v>
      </c>
      <c r="E159" s="6"/>
      <c r="F159" s="6" t="s">
        <v>43</v>
      </c>
      <c r="G159" s="7" t="n">
        <v>6</v>
      </c>
      <c r="H159" s="7" t="n">
        <v>0</v>
      </c>
      <c r="I159" s="7" t="n">
        <v>0</v>
      </c>
      <c r="J159" s="7" t="n">
        <f aca="false">G159-H159-I159</f>
        <v>6</v>
      </c>
      <c r="K159" s="6" t="str">
        <f aca="false">IF(J159=0,"FULL",IF(J159&lt;=2,"Hampir Penuh","Tersedia"))</f>
        <v>Tersedia</v>
      </c>
      <c r="L159" s="6"/>
      <c r="M159" s="6"/>
    </row>
    <row r="160" customFormat="false" ht="15" hidden="false" customHeight="false" outlineLevel="0" collapsed="false">
      <c r="A160" s="6" t="s">
        <v>128</v>
      </c>
      <c r="B160" s="6" t="s">
        <v>119</v>
      </c>
      <c r="C160" s="6" t="s">
        <v>56</v>
      </c>
      <c r="D160" s="6" t="s">
        <v>57</v>
      </c>
      <c r="E160" s="6"/>
      <c r="F160" s="6" t="s">
        <v>43</v>
      </c>
      <c r="G160" s="7" t="n">
        <v>6</v>
      </c>
      <c r="H160" s="7" t="n">
        <v>0</v>
      </c>
      <c r="I160" s="7" t="n">
        <v>0</v>
      </c>
      <c r="J160" s="7" t="n">
        <f aca="false">G160-H160-I160</f>
        <v>6</v>
      </c>
      <c r="K160" s="6" t="str">
        <f aca="false">IF(J160=0,"FULL",IF(J160&lt;=2,"Hampir Penuh","Tersedia"))</f>
        <v>Tersedia</v>
      </c>
      <c r="L160" s="6"/>
      <c r="M160" s="6"/>
    </row>
    <row r="161" customFormat="false" ht="15" hidden="false" customHeight="false" outlineLevel="0" collapsed="false">
      <c r="A161" s="6" t="s">
        <v>128</v>
      </c>
      <c r="B161" s="6" t="s">
        <v>119</v>
      </c>
      <c r="C161" s="6" t="s">
        <v>58</v>
      </c>
      <c r="D161" s="6" t="s">
        <v>59</v>
      </c>
      <c r="E161" s="6"/>
      <c r="F161" s="6" t="s">
        <v>43</v>
      </c>
      <c r="G161" s="7" t="n">
        <v>6</v>
      </c>
      <c r="H161" s="7" t="n">
        <v>0</v>
      </c>
      <c r="I161" s="7" t="n">
        <v>0</v>
      </c>
      <c r="J161" s="7" t="n">
        <f aca="false">G161-H161-I161</f>
        <v>6</v>
      </c>
      <c r="K161" s="6" t="str">
        <f aca="false">IF(J161=0,"FULL",IF(J161&lt;=2,"Hampir Penuh","Tersedia"))</f>
        <v>Tersedia</v>
      </c>
      <c r="L161" s="6"/>
      <c r="M161" s="6"/>
    </row>
    <row r="162" customFormat="false" ht="15" hidden="false" customHeight="false" outlineLevel="0" collapsed="false">
      <c r="A162" s="6" t="s">
        <v>128</v>
      </c>
      <c r="B162" s="6" t="s">
        <v>119</v>
      </c>
      <c r="C162" s="6" t="s">
        <v>60</v>
      </c>
      <c r="D162" s="6" t="s">
        <v>61</v>
      </c>
      <c r="E162" s="6"/>
      <c r="F162" s="6" t="s">
        <v>43</v>
      </c>
      <c r="G162" s="7" t="n">
        <v>6</v>
      </c>
      <c r="H162" s="7" t="n">
        <v>0</v>
      </c>
      <c r="I162" s="7" t="n">
        <v>0</v>
      </c>
      <c r="J162" s="7" t="n">
        <f aca="false">G162-H162-I162</f>
        <v>6</v>
      </c>
      <c r="K162" s="6" t="str">
        <f aca="false">IF(J162=0,"FULL",IF(J162&lt;=2,"Hampir Penuh","Tersedia"))</f>
        <v>Tersedia</v>
      </c>
      <c r="L162" s="6"/>
      <c r="M162" s="6"/>
    </row>
    <row r="163" customFormat="false" ht="15" hidden="false" customHeight="false" outlineLevel="0" collapsed="false">
      <c r="A163" s="6" t="s">
        <v>128</v>
      </c>
      <c r="B163" s="6" t="s">
        <v>119</v>
      </c>
      <c r="C163" s="6" t="s">
        <v>62</v>
      </c>
      <c r="D163" s="6"/>
      <c r="E163" s="6"/>
      <c r="F163" s="6" t="s">
        <v>43</v>
      </c>
      <c r="G163" s="7" t="n">
        <v>6</v>
      </c>
      <c r="H163" s="7" t="n">
        <v>0</v>
      </c>
      <c r="I163" s="7" t="n">
        <v>0</v>
      </c>
      <c r="J163" s="7" t="n">
        <f aca="false">G163-H163-I163</f>
        <v>6</v>
      </c>
      <c r="K163" s="6" t="str">
        <f aca="false">IF(J163=0,"FULL",IF(J163&lt;=2,"Hampir Penuh","Tersedia"))</f>
        <v>Tersedia</v>
      </c>
      <c r="L163" s="6"/>
      <c r="M163" s="6"/>
    </row>
    <row r="164" customFormat="false" ht="15" hidden="false" customHeight="false" outlineLevel="0" collapsed="false">
      <c r="A164" s="6" t="s">
        <v>128</v>
      </c>
      <c r="B164" s="6" t="s">
        <v>119</v>
      </c>
      <c r="C164" s="6" t="s">
        <v>63</v>
      </c>
      <c r="D164" s="6"/>
      <c r="E164" s="6"/>
      <c r="F164" s="6" t="s">
        <v>43</v>
      </c>
      <c r="G164" s="7" t="n">
        <v>6</v>
      </c>
      <c r="H164" s="7" t="n">
        <v>0</v>
      </c>
      <c r="I164" s="7" t="n">
        <v>0</v>
      </c>
      <c r="J164" s="7" t="n">
        <f aca="false">G164-H164-I164</f>
        <v>6</v>
      </c>
      <c r="K164" s="6" t="str">
        <f aca="false">IF(J164=0,"FULL",IF(J164&lt;=2,"Hampir Penuh","Tersedia"))</f>
        <v>Tersedia</v>
      </c>
      <c r="L164" s="6"/>
      <c r="M164" s="6"/>
    </row>
    <row r="165" customFormat="false" ht="15" hidden="false" customHeight="false" outlineLevel="0" collapsed="false">
      <c r="A165" s="6" t="s">
        <v>128</v>
      </c>
      <c r="B165" s="6" t="s">
        <v>122</v>
      </c>
      <c r="C165" s="6" t="s">
        <v>40</v>
      </c>
      <c r="D165" s="6" t="s">
        <v>41</v>
      </c>
      <c r="E165" s="6"/>
      <c r="F165" s="6" t="s">
        <v>43</v>
      </c>
      <c r="G165" s="7" t="n">
        <v>6</v>
      </c>
      <c r="H165" s="7" t="n">
        <v>0</v>
      </c>
      <c r="I165" s="7" t="n">
        <v>0</v>
      </c>
      <c r="J165" s="7" t="n">
        <f aca="false">G165-H165-I165</f>
        <v>6</v>
      </c>
      <c r="K165" s="6" t="str">
        <f aca="false">IF(J165=0,"FULL",IF(J165&lt;=2,"Hampir Penuh","Tersedia"))</f>
        <v>Tersedia</v>
      </c>
      <c r="L165" s="6"/>
      <c r="M165" s="6"/>
    </row>
    <row r="166" customFormat="false" ht="15" hidden="false" customHeight="false" outlineLevel="0" collapsed="false">
      <c r="A166" s="6" t="s">
        <v>128</v>
      </c>
      <c r="B166" s="6" t="s">
        <v>122</v>
      </c>
      <c r="C166" s="6" t="s">
        <v>45</v>
      </c>
      <c r="D166" s="6" t="s">
        <v>46</v>
      </c>
      <c r="E166" s="6"/>
      <c r="F166" s="6" t="s">
        <v>43</v>
      </c>
      <c r="G166" s="7" t="n">
        <v>6</v>
      </c>
      <c r="H166" s="7" t="n">
        <v>0</v>
      </c>
      <c r="I166" s="7" t="n">
        <v>0</v>
      </c>
      <c r="J166" s="7" t="n">
        <f aca="false">G166-H166-I166</f>
        <v>6</v>
      </c>
      <c r="K166" s="6" t="str">
        <f aca="false">IF(J166=0,"FULL",IF(J166&lt;=2,"Hampir Penuh","Tersedia"))</f>
        <v>Tersedia</v>
      </c>
      <c r="L166" s="6"/>
      <c r="M166" s="6"/>
    </row>
    <row r="167" customFormat="false" ht="15" hidden="false" customHeight="false" outlineLevel="0" collapsed="false">
      <c r="A167" s="6" t="s">
        <v>128</v>
      </c>
      <c r="B167" s="6" t="s">
        <v>122</v>
      </c>
      <c r="C167" s="6" t="s">
        <v>48</v>
      </c>
      <c r="D167" s="6" t="s">
        <v>49</v>
      </c>
      <c r="E167" s="6"/>
      <c r="F167" s="6" t="s">
        <v>43</v>
      </c>
      <c r="G167" s="7" t="n">
        <v>6</v>
      </c>
      <c r="H167" s="7" t="n">
        <v>0</v>
      </c>
      <c r="I167" s="7" t="n">
        <v>0</v>
      </c>
      <c r="J167" s="7" t="n">
        <f aca="false">G167-H167-I167</f>
        <v>6</v>
      </c>
      <c r="K167" s="6" t="str">
        <f aca="false">IF(J167=0,"FULL",IF(J167&lt;=2,"Hampir Penuh","Tersedia"))</f>
        <v>Tersedia</v>
      </c>
      <c r="L167" s="6"/>
      <c r="M167" s="6"/>
    </row>
    <row r="168" customFormat="false" ht="15" hidden="false" customHeight="false" outlineLevel="0" collapsed="false">
      <c r="A168" s="6" t="s">
        <v>128</v>
      </c>
      <c r="B168" s="6" t="s">
        <v>122</v>
      </c>
      <c r="C168" s="6" t="s">
        <v>51</v>
      </c>
      <c r="D168" s="6" t="s">
        <v>52</v>
      </c>
      <c r="E168" s="6"/>
      <c r="F168" s="6" t="s">
        <v>43</v>
      </c>
      <c r="G168" s="7" t="n">
        <v>6</v>
      </c>
      <c r="H168" s="7" t="n">
        <v>0</v>
      </c>
      <c r="I168" s="7" t="n">
        <v>0</v>
      </c>
      <c r="J168" s="7" t="n">
        <f aca="false">G168-H168-I168</f>
        <v>6</v>
      </c>
      <c r="K168" s="6" t="str">
        <f aca="false">IF(J168=0,"FULL",IF(J168&lt;=2,"Hampir Penuh","Tersedia"))</f>
        <v>Tersedia</v>
      </c>
      <c r="L168" s="6"/>
      <c r="M168" s="6"/>
    </row>
    <row r="169" customFormat="false" ht="15" hidden="false" customHeight="false" outlineLevel="0" collapsed="false">
      <c r="A169" s="6" t="s">
        <v>128</v>
      </c>
      <c r="B169" s="6" t="s">
        <v>122</v>
      </c>
      <c r="C169" s="6" t="s">
        <v>54</v>
      </c>
      <c r="D169" s="6" t="s">
        <v>55</v>
      </c>
      <c r="E169" s="6"/>
      <c r="F169" s="6" t="s">
        <v>43</v>
      </c>
      <c r="G169" s="7" t="n">
        <v>6</v>
      </c>
      <c r="H169" s="7" t="n">
        <v>0</v>
      </c>
      <c r="I169" s="7" t="n">
        <v>0</v>
      </c>
      <c r="J169" s="7" t="n">
        <f aca="false">G169-H169-I169</f>
        <v>6</v>
      </c>
      <c r="K169" s="6" t="str">
        <f aca="false">IF(J169=0,"FULL",IF(J169&lt;=2,"Hampir Penuh","Tersedia"))</f>
        <v>Tersedia</v>
      </c>
      <c r="L169" s="6"/>
      <c r="M169" s="6"/>
    </row>
    <row r="170" customFormat="false" ht="15" hidden="false" customHeight="false" outlineLevel="0" collapsed="false">
      <c r="A170" s="6" t="s">
        <v>128</v>
      </c>
      <c r="B170" s="6" t="s">
        <v>122</v>
      </c>
      <c r="C170" s="6" t="s">
        <v>56</v>
      </c>
      <c r="D170" s="6" t="s">
        <v>57</v>
      </c>
      <c r="E170" s="6"/>
      <c r="F170" s="6" t="s">
        <v>43</v>
      </c>
      <c r="G170" s="7" t="n">
        <v>6</v>
      </c>
      <c r="H170" s="7" t="n">
        <v>0</v>
      </c>
      <c r="I170" s="7" t="n">
        <v>0</v>
      </c>
      <c r="J170" s="7" t="n">
        <f aca="false">G170-H170-I170</f>
        <v>6</v>
      </c>
      <c r="K170" s="6" t="str">
        <f aca="false">IF(J170=0,"FULL",IF(J170&lt;=2,"Hampir Penuh","Tersedia"))</f>
        <v>Tersedia</v>
      </c>
      <c r="L170" s="6"/>
      <c r="M170" s="6"/>
    </row>
    <row r="171" customFormat="false" ht="15" hidden="false" customHeight="false" outlineLevel="0" collapsed="false">
      <c r="A171" s="6" t="s">
        <v>128</v>
      </c>
      <c r="B171" s="6" t="s">
        <v>122</v>
      </c>
      <c r="C171" s="6" t="s">
        <v>58</v>
      </c>
      <c r="D171" s="6" t="s">
        <v>59</v>
      </c>
      <c r="E171" s="6"/>
      <c r="F171" s="6" t="s">
        <v>43</v>
      </c>
      <c r="G171" s="7" t="n">
        <v>6</v>
      </c>
      <c r="H171" s="7" t="n">
        <v>0</v>
      </c>
      <c r="I171" s="7" t="n">
        <v>0</v>
      </c>
      <c r="J171" s="7" t="n">
        <f aca="false">G171-H171-I171</f>
        <v>6</v>
      </c>
      <c r="K171" s="6" t="str">
        <f aca="false">IF(J171=0,"FULL",IF(J171&lt;=2,"Hampir Penuh","Tersedia"))</f>
        <v>Tersedia</v>
      </c>
      <c r="L171" s="6"/>
      <c r="M171" s="6"/>
    </row>
    <row r="172" customFormat="false" ht="15" hidden="false" customHeight="false" outlineLevel="0" collapsed="false">
      <c r="A172" s="6" t="s">
        <v>128</v>
      </c>
      <c r="B172" s="6" t="s">
        <v>122</v>
      </c>
      <c r="C172" s="6" t="s">
        <v>60</v>
      </c>
      <c r="D172" s="6" t="s">
        <v>61</v>
      </c>
      <c r="E172" s="6"/>
      <c r="F172" s="6" t="s">
        <v>43</v>
      </c>
      <c r="G172" s="7" t="n">
        <v>6</v>
      </c>
      <c r="H172" s="7" t="n">
        <v>0</v>
      </c>
      <c r="I172" s="7" t="n">
        <v>0</v>
      </c>
      <c r="J172" s="7" t="n">
        <f aca="false">G172-H172-I172</f>
        <v>6</v>
      </c>
      <c r="K172" s="6" t="str">
        <f aca="false">IF(J172=0,"FULL",IF(J172&lt;=2,"Hampir Penuh","Tersedia"))</f>
        <v>Tersedia</v>
      </c>
      <c r="L172" s="6"/>
      <c r="M172" s="6"/>
    </row>
    <row r="173" customFormat="false" ht="15" hidden="false" customHeight="false" outlineLevel="0" collapsed="false">
      <c r="A173" s="6" t="s">
        <v>128</v>
      </c>
      <c r="B173" s="6" t="s">
        <v>122</v>
      </c>
      <c r="C173" s="6" t="s">
        <v>62</v>
      </c>
      <c r="D173" s="6"/>
      <c r="E173" s="6"/>
      <c r="F173" s="6" t="s">
        <v>43</v>
      </c>
      <c r="G173" s="7" t="n">
        <v>6</v>
      </c>
      <c r="H173" s="7" t="n">
        <v>0</v>
      </c>
      <c r="I173" s="7" t="n">
        <v>0</v>
      </c>
      <c r="J173" s="7" t="n">
        <f aca="false">G173-H173-I173</f>
        <v>6</v>
      </c>
      <c r="K173" s="6" t="str">
        <f aca="false">IF(J173=0,"FULL",IF(J173&lt;=2,"Hampir Penuh","Tersedia"))</f>
        <v>Tersedia</v>
      </c>
      <c r="L173" s="6"/>
      <c r="M173" s="6"/>
    </row>
    <row r="174" customFormat="false" ht="15" hidden="false" customHeight="false" outlineLevel="0" collapsed="false">
      <c r="A174" s="6" t="s">
        <v>128</v>
      </c>
      <c r="B174" s="6" t="s">
        <v>122</v>
      </c>
      <c r="C174" s="6" t="s">
        <v>63</v>
      </c>
      <c r="D174" s="6"/>
      <c r="E174" s="6"/>
      <c r="F174" s="6" t="s">
        <v>43</v>
      </c>
      <c r="G174" s="7" t="n">
        <v>6</v>
      </c>
      <c r="H174" s="7" t="n">
        <v>0</v>
      </c>
      <c r="I174" s="7" t="n">
        <v>0</v>
      </c>
      <c r="J174" s="7" t="n">
        <f aca="false">G174-H174-I174</f>
        <v>6</v>
      </c>
      <c r="K174" s="6" t="str">
        <f aca="false">IF(J174=0,"FULL",IF(J174&lt;=2,"Hampir Penuh","Tersedia"))</f>
        <v>Tersedia</v>
      </c>
      <c r="L174" s="6"/>
      <c r="M174" s="6"/>
    </row>
    <row r="175" customFormat="false" ht="15" hidden="false" customHeight="false" outlineLevel="0" collapsed="false">
      <c r="A175" s="6" t="s">
        <v>128</v>
      </c>
      <c r="B175" s="6" t="s">
        <v>126</v>
      </c>
      <c r="C175" s="6" t="s">
        <v>40</v>
      </c>
      <c r="D175" s="6" t="s">
        <v>41</v>
      </c>
      <c r="E175" s="6"/>
      <c r="F175" s="6" t="s">
        <v>43</v>
      </c>
      <c r="G175" s="7" t="n">
        <v>6</v>
      </c>
      <c r="H175" s="7" t="n">
        <v>0</v>
      </c>
      <c r="I175" s="7" t="n">
        <v>0</v>
      </c>
      <c r="J175" s="7" t="n">
        <f aca="false">G175-H175-I175</f>
        <v>6</v>
      </c>
      <c r="K175" s="6" t="str">
        <f aca="false">IF(J175=0,"FULL",IF(J175&lt;=2,"Hampir Penuh","Tersedia"))</f>
        <v>Tersedia</v>
      </c>
      <c r="L175" s="6"/>
      <c r="M175" s="6"/>
    </row>
    <row r="176" customFormat="false" ht="15" hidden="false" customHeight="false" outlineLevel="0" collapsed="false">
      <c r="A176" s="6" t="s">
        <v>128</v>
      </c>
      <c r="B176" s="6" t="s">
        <v>126</v>
      </c>
      <c r="C176" s="6" t="s">
        <v>45</v>
      </c>
      <c r="D176" s="6" t="s">
        <v>46</v>
      </c>
      <c r="E176" s="6"/>
      <c r="F176" s="6" t="s">
        <v>43</v>
      </c>
      <c r="G176" s="7" t="n">
        <v>6</v>
      </c>
      <c r="H176" s="7" t="n">
        <v>0</v>
      </c>
      <c r="I176" s="7" t="n">
        <v>0</v>
      </c>
      <c r="J176" s="7" t="n">
        <f aca="false">G176-H176-I176</f>
        <v>6</v>
      </c>
      <c r="K176" s="6" t="str">
        <f aca="false">IF(J176=0,"FULL",IF(J176&lt;=2,"Hampir Penuh","Tersedia"))</f>
        <v>Tersedia</v>
      </c>
      <c r="L176" s="6"/>
      <c r="M176" s="6"/>
    </row>
    <row r="177" customFormat="false" ht="15" hidden="false" customHeight="false" outlineLevel="0" collapsed="false">
      <c r="A177" s="6" t="s">
        <v>128</v>
      </c>
      <c r="B177" s="6" t="s">
        <v>126</v>
      </c>
      <c r="C177" s="6" t="s">
        <v>48</v>
      </c>
      <c r="D177" s="6" t="s">
        <v>49</v>
      </c>
      <c r="E177" s="6"/>
      <c r="F177" s="6" t="s">
        <v>43</v>
      </c>
      <c r="G177" s="7" t="n">
        <v>6</v>
      </c>
      <c r="H177" s="7" t="n">
        <v>0</v>
      </c>
      <c r="I177" s="7" t="n">
        <v>0</v>
      </c>
      <c r="J177" s="7" t="n">
        <f aca="false">G177-H177-I177</f>
        <v>6</v>
      </c>
      <c r="K177" s="6" t="str">
        <f aca="false">IF(J177=0,"FULL",IF(J177&lt;=2,"Hampir Penuh","Tersedia"))</f>
        <v>Tersedia</v>
      </c>
      <c r="L177" s="6"/>
      <c r="M177" s="6"/>
    </row>
    <row r="178" customFormat="false" ht="15" hidden="false" customHeight="false" outlineLevel="0" collapsed="false">
      <c r="A178" s="6" t="s">
        <v>128</v>
      </c>
      <c r="B178" s="6" t="s">
        <v>126</v>
      </c>
      <c r="C178" s="6" t="s">
        <v>51</v>
      </c>
      <c r="D178" s="6" t="s">
        <v>52</v>
      </c>
      <c r="E178" s="6"/>
      <c r="F178" s="6" t="s">
        <v>43</v>
      </c>
      <c r="G178" s="7" t="n">
        <v>6</v>
      </c>
      <c r="H178" s="7" t="n">
        <v>0</v>
      </c>
      <c r="I178" s="7" t="n">
        <v>0</v>
      </c>
      <c r="J178" s="7" t="n">
        <f aca="false">G178-H178-I178</f>
        <v>6</v>
      </c>
      <c r="K178" s="6" t="str">
        <f aca="false">IF(J178=0,"FULL",IF(J178&lt;=2,"Hampir Penuh","Tersedia"))</f>
        <v>Tersedia</v>
      </c>
      <c r="L178" s="6"/>
      <c r="M178" s="6"/>
    </row>
    <row r="179" customFormat="false" ht="15" hidden="false" customHeight="false" outlineLevel="0" collapsed="false">
      <c r="A179" s="6" t="s">
        <v>128</v>
      </c>
      <c r="B179" s="6" t="s">
        <v>126</v>
      </c>
      <c r="C179" s="6" t="s">
        <v>54</v>
      </c>
      <c r="D179" s="6" t="s">
        <v>55</v>
      </c>
      <c r="E179" s="6"/>
      <c r="F179" s="6" t="s">
        <v>43</v>
      </c>
      <c r="G179" s="7" t="n">
        <v>6</v>
      </c>
      <c r="H179" s="7" t="n">
        <v>0</v>
      </c>
      <c r="I179" s="7" t="n">
        <v>0</v>
      </c>
      <c r="J179" s="7" t="n">
        <f aca="false">G179-H179-I179</f>
        <v>6</v>
      </c>
      <c r="K179" s="6" t="str">
        <f aca="false">IF(J179=0,"FULL",IF(J179&lt;=2,"Hampir Penuh","Tersedia"))</f>
        <v>Tersedia</v>
      </c>
      <c r="L179" s="6"/>
      <c r="M179" s="6"/>
    </row>
    <row r="180" customFormat="false" ht="15" hidden="false" customHeight="false" outlineLevel="0" collapsed="false">
      <c r="A180" s="6" t="s">
        <v>128</v>
      </c>
      <c r="B180" s="6" t="s">
        <v>126</v>
      </c>
      <c r="C180" s="6" t="s">
        <v>56</v>
      </c>
      <c r="D180" s="6" t="s">
        <v>57</v>
      </c>
      <c r="E180" s="6"/>
      <c r="F180" s="6" t="s">
        <v>43</v>
      </c>
      <c r="G180" s="7" t="n">
        <v>6</v>
      </c>
      <c r="H180" s="7" t="n">
        <v>0</v>
      </c>
      <c r="I180" s="7" t="n">
        <v>0</v>
      </c>
      <c r="J180" s="7" t="n">
        <f aca="false">G180-H180-I180</f>
        <v>6</v>
      </c>
      <c r="K180" s="6" t="str">
        <f aca="false">IF(J180=0,"FULL",IF(J180&lt;=2,"Hampir Penuh","Tersedia"))</f>
        <v>Tersedia</v>
      </c>
      <c r="L180" s="6"/>
      <c r="M180" s="6"/>
    </row>
    <row r="181" customFormat="false" ht="15" hidden="false" customHeight="false" outlineLevel="0" collapsed="false">
      <c r="A181" s="6" t="s">
        <v>128</v>
      </c>
      <c r="B181" s="6" t="s">
        <v>126</v>
      </c>
      <c r="C181" s="6" t="s">
        <v>58</v>
      </c>
      <c r="D181" s="6" t="s">
        <v>59</v>
      </c>
      <c r="E181" s="6"/>
      <c r="F181" s="6" t="s">
        <v>43</v>
      </c>
      <c r="G181" s="7" t="n">
        <v>6</v>
      </c>
      <c r="H181" s="7" t="n">
        <v>0</v>
      </c>
      <c r="I181" s="7" t="n">
        <v>0</v>
      </c>
      <c r="J181" s="7" t="n">
        <f aca="false">G181-H181-I181</f>
        <v>6</v>
      </c>
      <c r="K181" s="6" t="str">
        <f aca="false">IF(J181=0,"FULL",IF(J181&lt;=2,"Hampir Penuh","Tersedia"))</f>
        <v>Tersedia</v>
      </c>
      <c r="L181" s="6"/>
      <c r="M181" s="6"/>
    </row>
    <row r="182" customFormat="false" ht="15" hidden="false" customHeight="false" outlineLevel="0" collapsed="false">
      <c r="A182" s="6" t="s">
        <v>128</v>
      </c>
      <c r="B182" s="6" t="s">
        <v>126</v>
      </c>
      <c r="C182" s="6" t="s">
        <v>60</v>
      </c>
      <c r="D182" s="6" t="s">
        <v>61</v>
      </c>
      <c r="E182" s="6"/>
      <c r="F182" s="6" t="s">
        <v>43</v>
      </c>
      <c r="G182" s="7" t="n">
        <v>6</v>
      </c>
      <c r="H182" s="7" t="n">
        <v>0</v>
      </c>
      <c r="I182" s="7" t="n">
        <v>0</v>
      </c>
      <c r="J182" s="7" t="n">
        <f aca="false">G182-H182-I182</f>
        <v>6</v>
      </c>
      <c r="K182" s="6" t="str">
        <f aca="false">IF(J182=0,"FULL",IF(J182&lt;=2,"Hampir Penuh","Tersedia"))</f>
        <v>Tersedia</v>
      </c>
      <c r="L182" s="6"/>
      <c r="M182" s="6"/>
    </row>
    <row r="183" customFormat="false" ht="15" hidden="false" customHeight="false" outlineLevel="0" collapsed="false">
      <c r="A183" s="6" t="s">
        <v>128</v>
      </c>
      <c r="B183" s="6" t="s">
        <v>126</v>
      </c>
      <c r="C183" s="6" t="s">
        <v>62</v>
      </c>
      <c r="D183" s="6"/>
      <c r="E183" s="6"/>
      <c r="F183" s="6" t="s">
        <v>43</v>
      </c>
      <c r="G183" s="7" t="n">
        <v>6</v>
      </c>
      <c r="H183" s="7" t="n">
        <v>0</v>
      </c>
      <c r="I183" s="7" t="n">
        <v>0</v>
      </c>
      <c r="J183" s="7" t="n">
        <f aca="false">G183-H183-I183</f>
        <v>6</v>
      </c>
      <c r="K183" s="6" t="str">
        <f aca="false">IF(J183=0,"FULL",IF(J183&lt;=2,"Hampir Penuh","Tersedia"))</f>
        <v>Tersedia</v>
      </c>
      <c r="L183" s="6"/>
      <c r="M183" s="6"/>
    </row>
    <row r="184" customFormat="false" ht="15" hidden="false" customHeight="false" outlineLevel="0" collapsed="false">
      <c r="A184" s="6" t="s">
        <v>128</v>
      </c>
      <c r="B184" s="6" t="s">
        <v>126</v>
      </c>
      <c r="C184" s="6" t="s">
        <v>63</v>
      </c>
      <c r="D184" s="6"/>
      <c r="E184" s="6"/>
      <c r="F184" s="6" t="s">
        <v>43</v>
      </c>
      <c r="G184" s="7" t="n">
        <v>6</v>
      </c>
      <c r="H184" s="7" t="n">
        <v>0</v>
      </c>
      <c r="I184" s="7" t="n">
        <v>0</v>
      </c>
      <c r="J184" s="7" t="n">
        <f aca="false">G184-H184-I184</f>
        <v>6</v>
      </c>
      <c r="K184" s="6" t="str">
        <f aca="false">IF(J184=0,"FULL",IF(J184&lt;=2,"Hampir Penuh","Tersedia"))</f>
        <v>Tersedia</v>
      </c>
      <c r="L184" s="6"/>
      <c r="M184" s="6"/>
    </row>
  </sheetData>
  <mergeCells count="2">
    <mergeCell ref="A1:M1"/>
    <mergeCell ref="A2:M2"/>
  </mergeCells>
  <conditionalFormatting sqref="K5:K184">
    <cfRule type="cellIs" priority="2" operator="equal" aboveAverage="0" equalAverage="0" bottom="0" percent="0" rank="0" text="" dxfId="0">
      <formula>"Tersedia"</formula>
    </cfRule>
    <cfRule type="cellIs" priority="3" operator="equal" aboveAverage="0" equalAverage="0" bottom="0" percent="0" rank="0" text="" dxfId="1">
      <formula>"Hampir Penuh"</formula>
    </cfRule>
    <cfRule type="cellIs" priority="4" operator="equal" aboveAverage="0" equalAverage="0" bottom="0" percent="0" rank="0" text="" dxfId="2">
      <formula>"FULL"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4" min="4" style="0" width="20"/>
    <col collapsed="false" customWidth="true" hidden="false" outlineLevel="0" max="5" min="5" style="0" width="15"/>
    <col collapsed="false" customWidth="true" hidden="false" outlineLevel="0" max="6" min="6" style="0" width="17"/>
    <col collapsed="false" customWidth="true" hidden="false" outlineLevel="0" max="7" min="7" style="0" width="9"/>
    <col collapsed="false" customWidth="true" hidden="false" outlineLevel="0" max="8" min="8" style="0" width="12"/>
    <col collapsed="false" customWidth="true" hidden="false" outlineLevel="0" max="9" min="9" style="0" width="10"/>
    <col collapsed="false" customWidth="true" hidden="false" outlineLevel="0" max="10" min="10" style="0" width="7"/>
    <col collapsed="false" customWidth="true" hidden="false" outlineLevel="0" max="11" min="11" style="0" width="12"/>
    <col collapsed="false" customWidth="true" hidden="false" outlineLevel="0" max="13" min="12" style="0" width="10"/>
    <col collapsed="false" customWidth="true" hidden="false" outlineLevel="0" max="14" min="14" style="0" width="18"/>
    <col collapsed="false" customWidth="true" hidden="false" outlineLevel="0" max="15" min="15" style="0" width="13"/>
    <col collapsed="false" customWidth="true" hidden="false" outlineLevel="0" max="17" min="16" style="0" width="10"/>
    <col collapsed="false" customWidth="true" hidden="false" outlineLevel="0" max="18" min="18" style="0" width="14"/>
    <col collapsed="false" customWidth="true" hidden="false" outlineLevel="0" max="19" min="19" style="0" width="8"/>
    <col collapsed="false" customWidth="true" hidden="false" outlineLevel="0" max="20" min="20" style="0" width="14"/>
  </cols>
  <sheetData>
    <row r="1" customFormat="false" ht="15" hidden="false" customHeight="false" outlineLevel="0" collapsed="false">
      <c r="A1" s="1" t="s">
        <v>129</v>
      </c>
      <c r="B1" s="1"/>
      <c r="C1" s="1"/>
      <c r="D1" s="1"/>
      <c r="E1" s="1"/>
      <c r="F1" s="1"/>
      <c r="G1" s="1"/>
      <c r="H1" s="1"/>
      <c r="I1" s="1"/>
      <c r="J1" s="1"/>
      <c r="K1" s="1"/>
      <c r="L1" s="1"/>
      <c r="M1" s="1"/>
      <c r="N1" s="1"/>
      <c r="O1" s="1"/>
      <c r="P1" s="1"/>
      <c r="Q1" s="1"/>
      <c r="R1" s="1"/>
      <c r="S1" s="1"/>
      <c r="T1" s="1"/>
    </row>
    <row r="2" customFormat="false" ht="15" hidden="false" customHeight="false" outlineLevel="0" collapsed="false">
      <c r="A2" s="5" t="s">
        <v>130</v>
      </c>
      <c r="B2" s="5"/>
      <c r="C2" s="5"/>
      <c r="D2" s="5"/>
      <c r="E2" s="5"/>
      <c r="F2" s="5"/>
      <c r="G2" s="5"/>
      <c r="H2" s="5"/>
      <c r="I2" s="5"/>
      <c r="J2" s="5"/>
      <c r="K2" s="5"/>
      <c r="L2" s="5"/>
      <c r="M2" s="5"/>
      <c r="N2" s="5"/>
      <c r="O2" s="5"/>
      <c r="P2" s="5"/>
      <c r="Q2" s="5"/>
      <c r="R2" s="5"/>
      <c r="S2" s="5"/>
      <c r="T2" s="5"/>
    </row>
    <row r="4" customFormat="false" ht="23.85" hidden="false" customHeight="false" outlineLevel="0" collapsed="false">
      <c r="A4" s="2" t="s">
        <v>131</v>
      </c>
      <c r="B4" s="2" t="s">
        <v>26</v>
      </c>
      <c r="C4" s="2" t="s">
        <v>132</v>
      </c>
      <c r="D4" s="2" t="s">
        <v>133</v>
      </c>
      <c r="E4" s="2" t="s">
        <v>134</v>
      </c>
      <c r="F4" s="2" t="s">
        <v>135</v>
      </c>
      <c r="G4" s="2" t="s">
        <v>136</v>
      </c>
      <c r="H4" s="2" t="s">
        <v>30</v>
      </c>
      <c r="I4" s="2" t="s">
        <v>137</v>
      </c>
      <c r="J4" s="2" t="s">
        <v>138</v>
      </c>
      <c r="K4" s="2" t="s">
        <v>139</v>
      </c>
      <c r="L4" s="2" t="s">
        <v>140</v>
      </c>
      <c r="M4" s="2" t="s">
        <v>141</v>
      </c>
      <c r="N4" s="2" t="s">
        <v>142</v>
      </c>
      <c r="O4" s="2" t="s">
        <v>143</v>
      </c>
      <c r="P4" s="2" t="s">
        <v>144</v>
      </c>
      <c r="Q4" s="2" t="s">
        <v>145</v>
      </c>
      <c r="R4" s="2" t="s">
        <v>146</v>
      </c>
      <c r="S4" s="2" t="s">
        <v>147</v>
      </c>
      <c r="T4" s="2" t="s">
        <v>2</v>
      </c>
    </row>
    <row r="5" customFormat="false" ht="15" hidden="false" customHeight="false" outlineLevel="0" collapsed="false">
      <c r="A5" s="6"/>
      <c r="B5" s="6" t="s">
        <v>148</v>
      </c>
      <c r="C5" s="6" t="s">
        <v>149</v>
      </c>
      <c r="D5" s="6" t="s">
        <v>150</v>
      </c>
      <c r="E5" s="8" t="s">
        <v>151</v>
      </c>
      <c r="F5" s="6" t="s">
        <v>152</v>
      </c>
      <c r="G5" s="6" t="s">
        <v>153</v>
      </c>
      <c r="H5" s="6" t="s">
        <v>43</v>
      </c>
      <c r="I5" s="6" t="s">
        <v>42</v>
      </c>
      <c r="J5" s="6" t="s">
        <v>154</v>
      </c>
      <c r="K5" s="9" t="n">
        <v>289000</v>
      </c>
      <c r="L5" s="6"/>
      <c r="M5" s="6"/>
      <c r="N5" s="6"/>
      <c r="O5" s="6"/>
      <c r="P5" s="6"/>
      <c r="Q5" s="6"/>
      <c r="R5" s="6"/>
      <c r="S5" s="6"/>
      <c r="T5" s="6"/>
    </row>
    <row r="6" customFormat="false" ht="15" hidden="false" customHeight="false" outlineLevel="0" collapsed="false">
      <c r="A6" s="6"/>
      <c r="B6" s="6" t="s">
        <v>148</v>
      </c>
      <c r="C6" s="6" t="s">
        <v>149</v>
      </c>
      <c r="D6" s="6" t="s">
        <v>155</v>
      </c>
      <c r="E6" s="8" t="s">
        <v>156</v>
      </c>
      <c r="F6" s="6" t="s">
        <v>152</v>
      </c>
      <c r="G6" s="6" t="s">
        <v>153</v>
      </c>
      <c r="H6" s="6" t="s">
        <v>43</v>
      </c>
      <c r="I6" s="6" t="s">
        <v>42</v>
      </c>
      <c r="J6" s="6" t="s">
        <v>154</v>
      </c>
      <c r="K6" s="9" t="n">
        <v>289000</v>
      </c>
      <c r="L6" s="6"/>
      <c r="M6" s="6"/>
      <c r="N6" s="6"/>
      <c r="O6" s="6"/>
      <c r="P6" s="6"/>
      <c r="Q6" s="6"/>
      <c r="R6" s="6"/>
      <c r="S6" s="6"/>
      <c r="T6" s="6"/>
    </row>
    <row r="7" customFormat="false" ht="15" hidden="false" customHeight="false" outlineLevel="0" collapsed="false">
      <c r="A7" s="6"/>
      <c r="B7" s="6" t="s">
        <v>148</v>
      </c>
      <c r="C7" s="6" t="s">
        <v>149</v>
      </c>
      <c r="D7" s="6" t="s">
        <v>157</v>
      </c>
      <c r="E7" s="8" t="s">
        <v>158</v>
      </c>
      <c r="F7" s="6" t="s">
        <v>159</v>
      </c>
      <c r="G7" s="6" t="s">
        <v>160</v>
      </c>
      <c r="H7" s="6" t="s">
        <v>43</v>
      </c>
      <c r="I7" s="6" t="s">
        <v>42</v>
      </c>
      <c r="J7" s="6" t="s">
        <v>154</v>
      </c>
      <c r="K7" s="9" t="n">
        <v>289000</v>
      </c>
      <c r="L7" s="6"/>
      <c r="M7" s="6"/>
      <c r="N7" s="6"/>
      <c r="O7" s="6"/>
      <c r="P7" s="6"/>
      <c r="Q7" s="6"/>
      <c r="R7" s="6"/>
      <c r="S7" s="6"/>
      <c r="T7" s="6"/>
    </row>
    <row r="8" customFormat="false" ht="15" hidden="false" customHeight="false" outlineLevel="0" collapsed="false">
      <c r="A8" s="6"/>
      <c r="B8" s="6" t="s">
        <v>148</v>
      </c>
      <c r="C8" s="6" t="s">
        <v>149</v>
      </c>
      <c r="D8" s="6" t="s">
        <v>161</v>
      </c>
      <c r="E8" s="8" t="s">
        <v>162</v>
      </c>
      <c r="F8" s="6" t="s">
        <v>159</v>
      </c>
      <c r="G8" s="6" t="s">
        <v>153</v>
      </c>
      <c r="H8" s="6" t="s">
        <v>43</v>
      </c>
      <c r="I8" s="6" t="s">
        <v>42</v>
      </c>
      <c r="J8" s="6" t="s">
        <v>154</v>
      </c>
      <c r="K8" s="9" t="n">
        <v>289000</v>
      </c>
      <c r="L8" s="6"/>
      <c r="M8" s="6"/>
      <c r="N8" s="6"/>
      <c r="O8" s="6"/>
      <c r="P8" s="6"/>
      <c r="Q8" s="6"/>
      <c r="R8" s="6"/>
      <c r="S8" s="6"/>
      <c r="T8" s="6"/>
    </row>
    <row r="9" customFormat="false" ht="15" hidden="false" customHeight="false" outlineLevel="0" collapsed="false">
      <c r="A9" s="6"/>
      <c r="B9" s="6" t="s">
        <v>148</v>
      </c>
      <c r="C9" s="6" t="s">
        <v>149</v>
      </c>
      <c r="D9" s="6" t="s">
        <v>163</v>
      </c>
      <c r="E9" s="8" t="s">
        <v>164</v>
      </c>
      <c r="F9" s="6" t="s">
        <v>152</v>
      </c>
      <c r="G9" s="6" t="s">
        <v>153</v>
      </c>
      <c r="H9" s="6" t="s">
        <v>43</v>
      </c>
      <c r="I9" s="6" t="s">
        <v>42</v>
      </c>
      <c r="J9" s="6" t="s">
        <v>154</v>
      </c>
      <c r="K9" s="9" t="n">
        <v>289000</v>
      </c>
      <c r="L9" s="6"/>
      <c r="M9" s="6"/>
      <c r="N9" s="6"/>
      <c r="O9" s="6"/>
      <c r="P9" s="6"/>
      <c r="Q9" s="6"/>
      <c r="R9" s="6"/>
      <c r="S9" s="6"/>
      <c r="T9" s="6"/>
    </row>
    <row r="10" customFormat="false" ht="15" hidden="false" customHeight="false" outlineLevel="0" collapsed="false">
      <c r="A10" s="6"/>
      <c r="B10" s="6"/>
      <c r="C10" s="6" t="s">
        <v>149</v>
      </c>
      <c r="D10" s="6" t="s">
        <v>165</v>
      </c>
      <c r="E10" s="8" t="s">
        <v>166</v>
      </c>
      <c r="F10" s="6" t="s">
        <v>152</v>
      </c>
      <c r="G10" s="6" t="s">
        <v>160</v>
      </c>
      <c r="H10" s="6" t="s">
        <v>43</v>
      </c>
      <c r="I10" s="6" t="s">
        <v>42</v>
      </c>
      <c r="J10" s="6" t="s">
        <v>154</v>
      </c>
      <c r="K10" s="9" t="n">
        <v>289000</v>
      </c>
      <c r="L10" s="6"/>
      <c r="M10" s="6"/>
      <c r="N10" s="6"/>
      <c r="O10" s="6"/>
      <c r="P10" s="6"/>
      <c r="Q10" s="6"/>
      <c r="R10" s="6"/>
      <c r="S10" s="6"/>
      <c r="T10" s="6"/>
    </row>
    <row r="11" customFormat="false" ht="15" hidden="false" customHeight="false" outlineLevel="0" collapsed="false">
      <c r="A11" s="6"/>
      <c r="B11" s="6"/>
      <c r="C11" s="6" t="s">
        <v>149</v>
      </c>
      <c r="D11" s="6" t="s">
        <v>167</v>
      </c>
      <c r="E11" s="8" t="s">
        <v>168</v>
      </c>
      <c r="F11" s="6" t="s">
        <v>152</v>
      </c>
      <c r="G11" s="6" t="s">
        <v>153</v>
      </c>
      <c r="H11" s="6" t="s">
        <v>43</v>
      </c>
      <c r="I11" s="6" t="s">
        <v>42</v>
      </c>
      <c r="J11" s="6" t="s">
        <v>154</v>
      </c>
      <c r="K11" s="9" t="n">
        <v>289000</v>
      </c>
      <c r="L11" s="6"/>
      <c r="M11" s="6"/>
      <c r="N11" s="6"/>
      <c r="O11" s="6"/>
      <c r="P11" s="6"/>
      <c r="Q11" s="6"/>
      <c r="R11" s="6"/>
      <c r="S11" s="6"/>
      <c r="T11" s="6"/>
    </row>
    <row r="12" customFormat="false" ht="15" hidden="false" customHeight="false" outlineLevel="0" collapsed="false">
      <c r="A12" s="6"/>
      <c r="B12" s="6"/>
      <c r="C12" s="6" t="s">
        <v>149</v>
      </c>
      <c r="D12" s="6" t="s">
        <v>169</v>
      </c>
      <c r="E12" s="8" t="s">
        <v>170</v>
      </c>
      <c r="F12" s="6" t="s">
        <v>171</v>
      </c>
      <c r="G12" s="6" t="s">
        <v>172</v>
      </c>
      <c r="H12" s="6" t="s">
        <v>43</v>
      </c>
      <c r="I12" s="6" t="s">
        <v>42</v>
      </c>
      <c r="J12" s="6" t="s">
        <v>173</v>
      </c>
      <c r="K12" s="9" t="n">
        <v>150000</v>
      </c>
      <c r="L12" s="6"/>
      <c r="M12" s="6"/>
      <c r="N12" s="6"/>
      <c r="O12" s="6"/>
      <c r="P12" s="6"/>
      <c r="Q12" s="6"/>
      <c r="R12" s="6"/>
      <c r="S12" s="6"/>
      <c r="T12" s="6"/>
    </row>
    <row r="13" customFormat="false" ht="15" hidden="false" customHeight="false" outlineLevel="0" collapsed="false">
      <c r="A13" s="6"/>
      <c r="B13" s="6"/>
      <c r="C13" s="6" t="s">
        <v>149</v>
      </c>
      <c r="D13" s="6" t="s">
        <v>174</v>
      </c>
      <c r="E13" s="8"/>
      <c r="F13" s="6" t="s">
        <v>171</v>
      </c>
      <c r="G13" s="6" t="s">
        <v>172</v>
      </c>
      <c r="H13" s="6" t="s">
        <v>43</v>
      </c>
      <c r="I13" s="6" t="s">
        <v>42</v>
      </c>
      <c r="J13" s="6" t="s">
        <v>173</v>
      </c>
      <c r="K13" s="9" t="n">
        <v>150000</v>
      </c>
      <c r="L13" s="6"/>
      <c r="M13" s="6"/>
      <c r="N13" s="6" t="s">
        <v>175</v>
      </c>
      <c r="O13" s="6"/>
      <c r="P13" s="6"/>
      <c r="Q13" s="6"/>
      <c r="R13" s="6"/>
      <c r="S13" s="6"/>
      <c r="T13" s="6"/>
    </row>
    <row r="14" customFormat="false" ht="15" hidden="false" customHeight="false" outlineLevel="0" collapsed="false">
      <c r="A14" s="6"/>
      <c r="B14" s="6"/>
      <c r="C14" s="6"/>
      <c r="D14" s="6" t="s">
        <v>176</v>
      </c>
      <c r="E14" s="8" t="s">
        <v>177</v>
      </c>
      <c r="F14" s="6" t="s">
        <v>178</v>
      </c>
      <c r="G14" s="6" t="s">
        <v>153</v>
      </c>
      <c r="H14" s="6" t="s">
        <v>43</v>
      </c>
      <c r="I14" s="6" t="s">
        <v>42</v>
      </c>
      <c r="J14" s="6" t="s">
        <v>154</v>
      </c>
      <c r="K14" s="9" t="n">
        <v>289000</v>
      </c>
      <c r="L14" s="6"/>
      <c r="M14" s="6"/>
      <c r="N14" s="6"/>
      <c r="O14" s="6"/>
      <c r="P14" s="6"/>
      <c r="Q14" s="6"/>
      <c r="R14" s="6"/>
      <c r="S14" s="6"/>
      <c r="T14" s="6"/>
    </row>
    <row r="15" customFormat="false" ht="15" hidden="false" customHeight="false" outlineLevel="0" collapsed="false">
      <c r="A15" s="6"/>
      <c r="B15" s="6"/>
      <c r="C15" s="6"/>
      <c r="D15" s="6" t="s">
        <v>179</v>
      </c>
      <c r="E15" s="8"/>
      <c r="F15" s="6" t="s">
        <v>178</v>
      </c>
      <c r="G15" s="6" t="s">
        <v>153</v>
      </c>
      <c r="H15" s="6" t="s">
        <v>43</v>
      </c>
      <c r="I15" s="6" t="s">
        <v>42</v>
      </c>
      <c r="J15" s="6" t="s">
        <v>154</v>
      </c>
      <c r="K15" s="9" t="n">
        <v>289000</v>
      </c>
      <c r="L15" s="6"/>
      <c r="M15" s="6"/>
      <c r="N15" s="6" t="s">
        <v>180</v>
      </c>
      <c r="O15" s="6"/>
      <c r="P15" s="6"/>
      <c r="Q15" s="6"/>
      <c r="R15" s="6"/>
      <c r="S15" s="6"/>
      <c r="T15" s="6"/>
    </row>
    <row r="16" customFormat="false" ht="15" hidden="false" customHeight="false" outlineLevel="0" collapsed="false">
      <c r="A16" s="6"/>
      <c r="B16" s="6"/>
      <c r="C16" s="6"/>
      <c r="D16" s="6" t="s">
        <v>181</v>
      </c>
      <c r="E16" s="8"/>
      <c r="F16" s="6" t="s">
        <v>171</v>
      </c>
      <c r="G16" s="6" t="s">
        <v>153</v>
      </c>
      <c r="H16" s="6" t="s">
        <v>43</v>
      </c>
      <c r="I16" s="6" t="s">
        <v>42</v>
      </c>
      <c r="J16" s="6" t="s">
        <v>154</v>
      </c>
      <c r="K16" s="9" t="n">
        <v>150000</v>
      </c>
      <c r="L16" s="6"/>
      <c r="M16" s="6"/>
      <c r="N16" s="6"/>
      <c r="O16" s="6"/>
      <c r="P16" s="6"/>
      <c r="Q16" s="6"/>
      <c r="R16" s="6"/>
      <c r="S16" s="6"/>
      <c r="T16" s="6"/>
    </row>
    <row r="17" customFormat="false" ht="15" hidden="false" customHeight="false" outlineLevel="0" collapsed="false">
      <c r="A17" s="6"/>
      <c r="B17" s="6"/>
      <c r="C17" s="6"/>
      <c r="D17" s="6" t="s">
        <v>182</v>
      </c>
      <c r="E17" s="8" t="s">
        <v>183</v>
      </c>
      <c r="F17" s="6" t="s">
        <v>178</v>
      </c>
      <c r="G17" s="6" t="s">
        <v>153</v>
      </c>
      <c r="H17" s="6" t="s">
        <v>43</v>
      </c>
      <c r="I17" s="6" t="s">
        <v>42</v>
      </c>
      <c r="J17" s="6" t="s">
        <v>154</v>
      </c>
      <c r="K17" s="9" t="n">
        <v>289000</v>
      </c>
      <c r="L17" s="6"/>
      <c r="M17" s="6"/>
      <c r="N17" s="6"/>
      <c r="O17" s="6"/>
      <c r="P17" s="6"/>
      <c r="Q17" s="6"/>
      <c r="R17" s="6"/>
      <c r="S17" s="6"/>
      <c r="T17" s="6"/>
    </row>
    <row r="18" customFormat="false" ht="15" hidden="false" customHeight="false" outlineLevel="0" collapsed="false">
      <c r="A18" s="6"/>
      <c r="B18" s="6"/>
      <c r="C18" s="6"/>
      <c r="D18" s="6" t="s">
        <v>184</v>
      </c>
      <c r="E18" s="8" t="s">
        <v>185</v>
      </c>
      <c r="F18" s="6" t="s">
        <v>178</v>
      </c>
      <c r="G18" s="6" t="s">
        <v>160</v>
      </c>
      <c r="H18" s="6" t="s">
        <v>43</v>
      </c>
      <c r="I18" s="6" t="s">
        <v>42</v>
      </c>
      <c r="J18" s="6"/>
      <c r="K18" s="9" t="n">
        <v>289000</v>
      </c>
      <c r="L18" s="6"/>
      <c r="M18" s="6"/>
      <c r="N18" s="6"/>
      <c r="O18" s="6"/>
      <c r="P18" s="6"/>
      <c r="Q18" s="6"/>
      <c r="R18" s="6"/>
      <c r="S18" s="6"/>
      <c r="T18" s="6"/>
    </row>
    <row r="19" customFormat="false" ht="15" hidden="false" customHeight="false" outlineLevel="0" collapsed="false">
      <c r="A19" s="6"/>
      <c r="B19" s="6"/>
      <c r="C19" s="6"/>
      <c r="D19" s="6" t="s">
        <v>186</v>
      </c>
      <c r="E19" s="8" t="s">
        <v>187</v>
      </c>
      <c r="F19" s="6" t="s">
        <v>188</v>
      </c>
      <c r="G19" s="6" t="s">
        <v>172</v>
      </c>
      <c r="H19" s="6" t="s">
        <v>43</v>
      </c>
      <c r="I19" s="6" t="s">
        <v>42</v>
      </c>
      <c r="J19" s="6"/>
      <c r="K19" s="9" t="n">
        <v>150000</v>
      </c>
      <c r="L19" s="6"/>
      <c r="M19" s="6"/>
      <c r="N19" s="6"/>
      <c r="O19" s="6"/>
      <c r="P19" s="6"/>
      <c r="Q19" s="6"/>
      <c r="R19" s="6"/>
      <c r="S19" s="6"/>
      <c r="T19" s="6"/>
    </row>
    <row r="20" customFormat="false" ht="15" hidden="false" customHeight="false" outlineLevel="0" collapsed="false">
      <c r="A20" s="6"/>
      <c r="B20" s="6"/>
      <c r="C20" s="6"/>
      <c r="D20" s="6" t="s">
        <v>189</v>
      </c>
      <c r="E20" s="8"/>
      <c r="F20" s="6" t="s">
        <v>190</v>
      </c>
      <c r="G20" s="6" t="s">
        <v>59</v>
      </c>
      <c r="H20" s="6" t="s">
        <v>43</v>
      </c>
      <c r="I20" s="6" t="s">
        <v>42</v>
      </c>
      <c r="J20" s="6"/>
      <c r="K20" s="9" t="n">
        <v>150000</v>
      </c>
      <c r="L20" s="6"/>
      <c r="M20" s="6"/>
      <c r="N20" s="6"/>
      <c r="O20" s="6"/>
      <c r="P20" s="6"/>
      <c r="Q20" s="6"/>
      <c r="R20" s="6"/>
      <c r="S20" s="6"/>
      <c r="T20" s="6"/>
    </row>
    <row r="21" customFormat="false" ht="15" hidden="false" customHeight="false" outlineLevel="0" collapsed="false">
      <c r="A21" s="6"/>
      <c r="B21" s="6"/>
      <c r="C21" s="6"/>
      <c r="D21" s="6" t="s">
        <v>191</v>
      </c>
      <c r="E21" s="8" t="s">
        <v>192</v>
      </c>
      <c r="F21" s="6" t="s">
        <v>188</v>
      </c>
      <c r="G21" s="6" t="s">
        <v>59</v>
      </c>
      <c r="H21" s="6" t="s">
        <v>43</v>
      </c>
      <c r="I21" s="6" t="s">
        <v>42</v>
      </c>
      <c r="J21" s="6"/>
      <c r="K21" s="9" t="n">
        <v>150000</v>
      </c>
      <c r="L21" s="6"/>
      <c r="M21" s="6"/>
      <c r="N21" s="6"/>
      <c r="O21" s="6"/>
      <c r="P21" s="6"/>
      <c r="Q21" s="6"/>
      <c r="R21" s="6"/>
      <c r="S21" s="6"/>
      <c r="T21" s="6"/>
    </row>
    <row r="22" customFormat="false" ht="15" hidden="false" customHeight="false" outlineLevel="0" collapsed="false">
      <c r="A22" s="6"/>
      <c r="B22" s="6"/>
      <c r="C22" s="6" t="s">
        <v>149</v>
      </c>
      <c r="D22" s="6" t="s">
        <v>193</v>
      </c>
      <c r="E22" s="8" t="s">
        <v>194</v>
      </c>
      <c r="F22" s="6" t="s">
        <v>171</v>
      </c>
      <c r="G22" s="6" t="s">
        <v>59</v>
      </c>
      <c r="H22" s="6" t="s">
        <v>43</v>
      </c>
      <c r="I22" s="6" t="s">
        <v>92</v>
      </c>
      <c r="J22" s="6"/>
      <c r="K22" s="9" t="n">
        <v>150000</v>
      </c>
      <c r="L22" s="6" t="s">
        <v>195</v>
      </c>
      <c r="M22" s="6"/>
      <c r="N22" s="6"/>
      <c r="O22" s="6"/>
      <c r="P22" s="6"/>
      <c r="Q22" s="6"/>
      <c r="R22" s="6"/>
      <c r="S22" s="6"/>
      <c r="T22" s="6"/>
    </row>
    <row r="23" customFormat="false" ht="15" hidden="false" customHeight="false" outlineLevel="0" collapsed="false">
      <c r="A23" s="6"/>
      <c r="B23" s="6"/>
      <c r="C23" s="6"/>
      <c r="D23" s="6" t="s">
        <v>196</v>
      </c>
      <c r="E23" s="8" t="s">
        <v>197</v>
      </c>
      <c r="F23" s="6" t="s">
        <v>171</v>
      </c>
      <c r="G23" s="6" t="s">
        <v>59</v>
      </c>
      <c r="H23" s="6" t="s">
        <v>43</v>
      </c>
      <c r="I23" s="6" t="s">
        <v>92</v>
      </c>
      <c r="J23" s="6"/>
      <c r="K23" s="9" t="n">
        <v>150000</v>
      </c>
      <c r="L23" s="6" t="s">
        <v>195</v>
      </c>
      <c r="M23" s="6" t="s">
        <v>198</v>
      </c>
      <c r="N23" s="6" t="s">
        <v>199</v>
      </c>
      <c r="O23" s="6"/>
      <c r="P23" s="6"/>
      <c r="Q23" s="6"/>
      <c r="R23" s="6"/>
      <c r="S23" s="6"/>
      <c r="T23" s="6"/>
    </row>
    <row r="24" customFormat="false" ht="15" hidden="false" customHeight="false" outlineLevel="0" collapsed="false">
      <c r="A24" s="6"/>
      <c r="B24" s="6"/>
      <c r="C24" s="6"/>
      <c r="D24" s="6" t="s">
        <v>200</v>
      </c>
      <c r="E24" s="8"/>
      <c r="F24" s="6" t="s">
        <v>188</v>
      </c>
      <c r="G24" s="6" t="s">
        <v>172</v>
      </c>
      <c r="H24" s="6" t="s">
        <v>43</v>
      </c>
      <c r="I24" s="6" t="s">
        <v>42</v>
      </c>
      <c r="J24" s="6"/>
      <c r="K24" s="9" t="n">
        <v>150000</v>
      </c>
      <c r="L24" s="6" t="s">
        <v>195</v>
      </c>
      <c r="M24" s="6" t="s">
        <v>198</v>
      </c>
      <c r="N24" s="6"/>
      <c r="O24" s="6"/>
      <c r="P24" s="6"/>
      <c r="Q24" s="6"/>
      <c r="R24" s="6"/>
      <c r="S24" s="6"/>
      <c r="T24" s="6"/>
    </row>
    <row r="25" customFormat="false" ht="15" hidden="false" customHeight="false" outlineLevel="0" collapsed="false">
      <c r="A25" s="6"/>
      <c r="B25" s="6"/>
      <c r="C25" s="6"/>
      <c r="D25" s="6" t="s">
        <v>201</v>
      </c>
      <c r="E25" s="8" t="s">
        <v>202</v>
      </c>
      <c r="F25" s="6" t="s">
        <v>203</v>
      </c>
      <c r="G25" s="6" t="s">
        <v>160</v>
      </c>
      <c r="H25" s="6" t="s">
        <v>43</v>
      </c>
      <c r="I25" s="6" t="s">
        <v>42</v>
      </c>
      <c r="J25" s="6"/>
      <c r="K25" s="6"/>
      <c r="L25" s="6"/>
      <c r="M25" s="6"/>
      <c r="N25" s="6"/>
      <c r="O25" s="6"/>
      <c r="P25" s="6"/>
      <c r="Q25" s="6"/>
      <c r="R25" s="6"/>
      <c r="S25" s="6"/>
      <c r="T25" s="6"/>
    </row>
    <row r="26" customFormat="false" ht="15" hidden="false" customHeight="false" outlineLevel="0" collapsed="false">
      <c r="A26" s="6"/>
      <c r="B26" s="6"/>
      <c r="C26" s="6"/>
      <c r="D26" s="6" t="s">
        <v>204</v>
      </c>
      <c r="E26" s="8" t="s">
        <v>205</v>
      </c>
      <c r="F26" s="6" t="s">
        <v>206</v>
      </c>
      <c r="G26" s="6" t="s">
        <v>153</v>
      </c>
      <c r="H26" s="6" t="s">
        <v>43</v>
      </c>
      <c r="I26" s="6" t="s">
        <v>92</v>
      </c>
      <c r="J26" s="6"/>
      <c r="K26" s="9" t="n">
        <v>150000</v>
      </c>
      <c r="L26" s="6" t="s">
        <v>195</v>
      </c>
      <c r="M26" s="6"/>
      <c r="N26" s="6"/>
      <c r="O26" s="6"/>
      <c r="P26" s="6"/>
      <c r="Q26" s="6"/>
      <c r="R26" s="6"/>
      <c r="S26" s="6"/>
      <c r="T26" s="6"/>
    </row>
    <row r="27" customFormat="false" ht="15" hidden="false" customHeight="false" outlineLevel="0" collapsed="false">
      <c r="A27" s="6"/>
      <c r="B27" s="6"/>
      <c r="C27" s="6"/>
      <c r="D27" s="6" t="s">
        <v>207</v>
      </c>
      <c r="E27" s="8" t="s">
        <v>208</v>
      </c>
      <c r="F27" s="6" t="s">
        <v>209</v>
      </c>
      <c r="G27" s="6" t="s">
        <v>57</v>
      </c>
      <c r="H27" s="6" t="s">
        <v>43</v>
      </c>
      <c r="I27" s="6" t="s">
        <v>92</v>
      </c>
      <c r="J27" s="6"/>
      <c r="K27" s="9" t="n">
        <v>150000</v>
      </c>
      <c r="L27" s="6" t="s">
        <v>195</v>
      </c>
      <c r="M27" s="6"/>
      <c r="N27" s="6"/>
      <c r="O27" s="6"/>
      <c r="P27" s="6"/>
      <c r="Q27" s="6"/>
      <c r="R27" s="6"/>
      <c r="S27" s="6"/>
      <c r="T27" s="6"/>
    </row>
    <row r="28" customFormat="false" ht="15" hidden="false" customHeight="false" outlineLevel="0" collapsed="false">
      <c r="A28" s="6"/>
      <c r="B28" s="6"/>
      <c r="C28" s="6"/>
      <c r="D28" s="6" t="s">
        <v>210</v>
      </c>
      <c r="E28" s="8" t="s">
        <v>211</v>
      </c>
      <c r="F28" s="6" t="s">
        <v>212</v>
      </c>
      <c r="G28" s="6" t="s">
        <v>52</v>
      </c>
      <c r="H28" s="6" t="s">
        <v>43</v>
      </c>
      <c r="I28" s="6" t="s">
        <v>42</v>
      </c>
      <c r="J28" s="6"/>
      <c r="K28" s="9" t="n">
        <v>150000</v>
      </c>
      <c r="L28" s="6" t="s">
        <v>195</v>
      </c>
      <c r="M28" s="6"/>
      <c r="N28" s="6"/>
      <c r="O28" s="6"/>
      <c r="P28" s="6"/>
      <c r="Q28" s="6"/>
      <c r="R28" s="6"/>
      <c r="S28" s="6"/>
      <c r="T28" s="6"/>
    </row>
    <row r="29" customFormat="false" ht="15" hidden="false" customHeight="false" outlineLevel="0" collapsed="false">
      <c r="A29" s="6"/>
      <c r="B29" s="6"/>
      <c r="C29" s="6"/>
      <c r="D29" s="6" t="s">
        <v>213</v>
      </c>
      <c r="E29" s="8"/>
      <c r="F29" s="6" t="s">
        <v>212</v>
      </c>
      <c r="G29" s="6" t="s">
        <v>52</v>
      </c>
      <c r="H29" s="6" t="s">
        <v>43</v>
      </c>
      <c r="I29" s="6" t="s">
        <v>42</v>
      </c>
      <c r="J29" s="6"/>
      <c r="K29" s="9" t="n">
        <v>150000</v>
      </c>
      <c r="L29" s="6" t="s">
        <v>195</v>
      </c>
      <c r="M29" s="6"/>
      <c r="N29" s="6" t="s">
        <v>214</v>
      </c>
      <c r="O29" s="6"/>
      <c r="P29" s="6"/>
      <c r="Q29" s="6"/>
      <c r="R29" s="6"/>
      <c r="S29" s="6"/>
      <c r="T29" s="6"/>
    </row>
    <row r="30" customFormat="false" ht="15" hidden="false" customHeight="false" outlineLevel="0" collapsed="false">
      <c r="A30" s="6"/>
      <c r="B30" s="6"/>
      <c r="C30" s="6"/>
      <c r="D30" s="6" t="s">
        <v>215</v>
      </c>
      <c r="E30" s="8" t="s">
        <v>216</v>
      </c>
      <c r="F30" s="6" t="s">
        <v>212</v>
      </c>
      <c r="G30" s="6" t="s">
        <v>160</v>
      </c>
      <c r="H30" s="6" t="s">
        <v>43</v>
      </c>
      <c r="I30" s="6" t="s">
        <v>42</v>
      </c>
      <c r="J30" s="6"/>
      <c r="K30" s="9" t="n">
        <v>150000</v>
      </c>
      <c r="L30" s="6" t="s">
        <v>195</v>
      </c>
      <c r="M30" s="6"/>
      <c r="N30" s="6"/>
      <c r="O30" s="6"/>
      <c r="P30" s="6"/>
      <c r="Q30" s="6"/>
      <c r="R30" s="6"/>
      <c r="S30" s="6"/>
      <c r="T30" s="6"/>
    </row>
    <row r="31" customFormat="false" ht="15" hidden="false" customHeight="false" outlineLevel="0" collapsed="false">
      <c r="A31" s="6"/>
      <c r="B31" s="6"/>
      <c r="C31" s="6"/>
      <c r="D31" s="6" t="s">
        <v>217</v>
      </c>
      <c r="E31" s="8" t="s">
        <v>218</v>
      </c>
      <c r="F31" s="6" t="s">
        <v>219</v>
      </c>
      <c r="G31" s="6" t="s">
        <v>220</v>
      </c>
      <c r="H31" s="6" t="s">
        <v>43</v>
      </c>
      <c r="I31" s="6" t="s">
        <v>66</v>
      </c>
      <c r="J31" s="6"/>
      <c r="K31" s="9" t="n">
        <v>150000</v>
      </c>
      <c r="L31" s="6" t="s">
        <v>195</v>
      </c>
      <c r="M31" s="6"/>
      <c r="N31" s="6"/>
      <c r="O31" s="6"/>
      <c r="P31" s="6"/>
      <c r="Q31" s="6"/>
      <c r="R31" s="6"/>
      <c r="S31" s="6"/>
      <c r="T31" s="6"/>
    </row>
    <row r="32" customFormat="false" ht="15" hidden="false" customHeight="false" outlineLevel="0" collapsed="false">
      <c r="A32" s="6"/>
      <c r="B32" s="6"/>
      <c r="C32" s="6"/>
      <c r="D32" s="6" t="s">
        <v>221</v>
      </c>
      <c r="E32" s="8" t="s">
        <v>222</v>
      </c>
      <c r="F32" s="6" t="s">
        <v>223</v>
      </c>
      <c r="G32" s="6" t="s">
        <v>59</v>
      </c>
      <c r="H32" s="6" t="s">
        <v>43</v>
      </c>
      <c r="I32" s="6" t="s">
        <v>42</v>
      </c>
      <c r="J32" s="6"/>
      <c r="K32" s="9" t="n">
        <v>150000</v>
      </c>
      <c r="L32" s="6" t="s">
        <v>195</v>
      </c>
      <c r="M32" s="6"/>
      <c r="N32" s="6"/>
      <c r="O32" s="6"/>
      <c r="P32" s="6"/>
      <c r="Q32" s="6"/>
      <c r="R32" s="6"/>
      <c r="S32" s="6"/>
      <c r="T32" s="6"/>
    </row>
    <row r="33" customFormat="false" ht="15" hidden="false" customHeight="false" outlineLevel="0" collapsed="false">
      <c r="A33" s="6"/>
      <c r="B33" s="6"/>
      <c r="C33" s="6"/>
      <c r="D33" s="6" t="s">
        <v>224</v>
      </c>
      <c r="E33" s="8" t="s">
        <v>225</v>
      </c>
      <c r="F33" s="6" t="s">
        <v>219</v>
      </c>
      <c r="G33" s="6" t="s">
        <v>57</v>
      </c>
      <c r="H33" s="6" t="s">
        <v>43</v>
      </c>
      <c r="I33" s="6" t="s">
        <v>42</v>
      </c>
      <c r="J33" s="6"/>
      <c r="K33" s="9" t="n">
        <v>150000</v>
      </c>
      <c r="L33" s="6" t="s">
        <v>195</v>
      </c>
      <c r="M33" s="6"/>
      <c r="N33" s="6"/>
      <c r="O33" s="6"/>
      <c r="P33" s="6"/>
      <c r="Q33" s="6"/>
      <c r="R33" s="6"/>
      <c r="S33" s="6"/>
      <c r="T33" s="6"/>
    </row>
    <row r="34" customFormat="false" ht="15" hidden="false" customHeight="false" outlineLevel="0" collapsed="false">
      <c r="A34" s="6"/>
      <c r="B34" s="6"/>
      <c r="C34" s="6"/>
      <c r="D34" s="6" t="s">
        <v>226</v>
      </c>
      <c r="E34" s="8" t="s">
        <v>227</v>
      </c>
      <c r="F34" s="6" t="s">
        <v>209</v>
      </c>
      <c r="G34" s="6" t="s">
        <v>61</v>
      </c>
      <c r="H34" s="6" t="s">
        <v>43</v>
      </c>
      <c r="I34" s="6" t="s">
        <v>92</v>
      </c>
      <c r="J34" s="6"/>
      <c r="K34" s="9" t="n">
        <v>150000</v>
      </c>
      <c r="L34" s="6" t="s">
        <v>195</v>
      </c>
      <c r="M34" s="6"/>
      <c r="N34" s="6"/>
      <c r="O34" s="6"/>
      <c r="P34" s="6"/>
      <c r="Q34" s="6"/>
      <c r="R34" s="6"/>
      <c r="S34" s="6"/>
      <c r="T34" s="6"/>
    </row>
    <row r="35" customFormat="false" ht="15" hidden="false" customHeight="false" outlineLevel="0" collapsed="false">
      <c r="A35" s="6"/>
      <c r="B35" s="6"/>
      <c r="C35" s="6"/>
      <c r="D35" s="6" t="s">
        <v>228</v>
      </c>
      <c r="E35" s="8" t="s">
        <v>229</v>
      </c>
      <c r="F35" s="6" t="s">
        <v>223</v>
      </c>
      <c r="G35" s="6" t="s">
        <v>230</v>
      </c>
      <c r="H35" s="6" t="s">
        <v>43</v>
      </c>
      <c r="I35" s="6" t="s">
        <v>42</v>
      </c>
      <c r="J35" s="6"/>
      <c r="K35" s="9" t="n">
        <v>150000</v>
      </c>
      <c r="L35" s="6" t="s">
        <v>195</v>
      </c>
      <c r="M35" s="6"/>
      <c r="N35" s="6"/>
      <c r="O35" s="6"/>
      <c r="P35" s="6"/>
      <c r="Q35" s="6"/>
      <c r="R35" s="6"/>
      <c r="S35" s="6"/>
      <c r="T35" s="6"/>
    </row>
    <row r="36" customFormat="false" ht="15" hidden="false" customHeight="false" outlineLevel="0" collapsed="false">
      <c r="A36" s="6"/>
      <c r="B36" s="6"/>
      <c r="C36" s="6"/>
      <c r="D36" s="6" t="s">
        <v>231</v>
      </c>
      <c r="E36" s="8" t="s">
        <v>232</v>
      </c>
      <c r="F36" s="6" t="s">
        <v>206</v>
      </c>
      <c r="G36" s="6" t="s">
        <v>153</v>
      </c>
      <c r="H36" s="6" t="s">
        <v>43</v>
      </c>
      <c r="I36" s="6" t="s">
        <v>92</v>
      </c>
      <c r="J36" s="6"/>
      <c r="K36" s="6"/>
      <c r="L36" s="6"/>
      <c r="M36" s="6"/>
      <c r="N36" s="6"/>
      <c r="O36" s="6"/>
      <c r="P36" s="6"/>
      <c r="Q36" s="6"/>
      <c r="R36" s="6"/>
      <c r="S36" s="6"/>
      <c r="T36" s="6"/>
    </row>
    <row r="37" customFormat="false" ht="15" hidden="false" customHeight="false" outlineLevel="0" collapsed="false">
      <c r="A37" s="6"/>
      <c r="B37" s="6"/>
      <c r="C37" s="6"/>
      <c r="D37" s="6" t="s">
        <v>233</v>
      </c>
      <c r="E37" s="8" t="s">
        <v>234</v>
      </c>
      <c r="F37" s="6" t="s">
        <v>206</v>
      </c>
      <c r="G37" s="6" t="s">
        <v>172</v>
      </c>
      <c r="H37" s="6" t="s">
        <v>43</v>
      </c>
      <c r="I37" s="6" t="s">
        <v>92</v>
      </c>
      <c r="J37" s="6"/>
      <c r="K37" s="9" t="n">
        <v>150000</v>
      </c>
      <c r="L37" s="6" t="s">
        <v>195</v>
      </c>
      <c r="M37" s="6"/>
      <c r="N37" s="6"/>
      <c r="O37" s="6"/>
      <c r="P37" s="6"/>
      <c r="Q37" s="6"/>
      <c r="R37" s="6"/>
      <c r="S37" s="6"/>
      <c r="T37" s="6"/>
    </row>
    <row r="38" customFormat="false" ht="15" hidden="false" customHeight="false" outlineLevel="0" collapsed="false">
      <c r="A38" s="6"/>
      <c r="B38" s="6"/>
      <c r="C38" s="6"/>
      <c r="D38" s="6" t="s">
        <v>235</v>
      </c>
      <c r="E38" s="8" t="s">
        <v>236</v>
      </c>
      <c r="F38" s="6" t="s">
        <v>212</v>
      </c>
      <c r="G38" s="6" t="s">
        <v>153</v>
      </c>
      <c r="H38" s="6" t="s">
        <v>43</v>
      </c>
      <c r="I38" s="6" t="s">
        <v>42</v>
      </c>
      <c r="J38" s="6"/>
      <c r="K38" s="9" t="n">
        <v>150000</v>
      </c>
      <c r="L38" s="6" t="s">
        <v>195</v>
      </c>
      <c r="M38" s="6"/>
      <c r="N38" s="6"/>
      <c r="O38" s="6"/>
      <c r="P38" s="6"/>
      <c r="Q38" s="6"/>
      <c r="R38" s="6"/>
      <c r="S38" s="6"/>
      <c r="T38" s="6"/>
    </row>
    <row r="39" customFormat="false" ht="15" hidden="false" customHeight="false" outlineLevel="0" collapsed="false">
      <c r="A39" s="6"/>
      <c r="B39" s="6"/>
      <c r="C39" s="6"/>
      <c r="D39" s="6" t="s">
        <v>210</v>
      </c>
      <c r="E39" s="8" t="s">
        <v>211</v>
      </c>
      <c r="F39" s="6" t="s">
        <v>212</v>
      </c>
      <c r="G39" s="6" t="s">
        <v>52</v>
      </c>
      <c r="H39" s="6" t="s">
        <v>43</v>
      </c>
      <c r="I39" s="6" t="s">
        <v>42</v>
      </c>
      <c r="J39" s="6"/>
      <c r="K39" s="9" t="n">
        <v>150000</v>
      </c>
      <c r="L39" s="6" t="s">
        <v>195</v>
      </c>
      <c r="M39" s="6"/>
      <c r="N39" s="6"/>
      <c r="O39" s="6"/>
      <c r="P39" s="6"/>
      <c r="Q39" s="6"/>
      <c r="R39" s="6"/>
      <c r="S39" s="6"/>
      <c r="T39" s="6"/>
    </row>
    <row r="40" customFormat="false" ht="15" hidden="false" customHeight="false" outlineLevel="0" collapsed="false">
      <c r="A40" s="6"/>
      <c r="B40" s="6"/>
      <c r="C40" s="6"/>
      <c r="D40" s="6" t="s">
        <v>237</v>
      </c>
      <c r="E40" s="8" t="s">
        <v>238</v>
      </c>
      <c r="F40" s="6" t="s">
        <v>206</v>
      </c>
      <c r="G40" s="6" t="s">
        <v>153</v>
      </c>
      <c r="H40" s="6" t="s">
        <v>43</v>
      </c>
      <c r="I40" s="6" t="s">
        <v>92</v>
      </c>
      <c r="J40" s="6"/>
      <c r="K40" s="9" t="n">
        <v>150000</v>
      </c>
      <c r="L40" s="6" t="s">
        <v>195</v>
      </c>
      <c r="M40" s="6"/>
      <c r="N40" s="6"/>
      <c r="O40" s="6"/>
      <c r="P40" s="6"/>
      <c r="Q40" s="6"/>
      <c r="R40" s="6"/>
      <c r="S40" s="6"/>
      <c r="T40" s="6"/>
    </row>
    <row r="41" customFormat="false" ht="15" hidden="false" customHeight="false" outlineLevel="0" collapsed="false">
      <c r="A41" s="6"/>
      <c r="B41" s="6"/>
      <c r="C41" s="6"/>
      <c r="D41" s="6" t="s">
        <v>239</v>
      </c>
      <c r="E41" s="8" t="s">
        <v>240</v>
      </c>
      <c r="F41" s="6" t="s">
        <v>212</v>
      </c>
      <c r="G41" s="6" t="s">
        <v>52</v>
      </c>
      <c r="H41" s="6" t="s">
        <v>43</v>
      </c>
      <c r="I41" s="6" t="s">
        <v>42</v>
      </c>
      <c r="J41" s="6"/>
      <c r="K41" s="9" t="n">
        <v>150000</v>
      </c>
      <c r="L41" s="6" t="s">
        <v>195</v>
      </c>
      <c r="M41" s="6"/>
      <c r="N41" s="6"/>
      <c r="O41" s="6"/>
      <c r="P41" s="6"/>
      <c r="Q41" s="6"/>
      <c r="R41" s="6"/>
      <c r="S41" s="6"/>
      <c r="T41" s="6"/>
    </row>
    <row r="42" customFormat="false" ht="15" hidden="false" customHeight="false" outlineLevel="0" collapsed="false">
      <c r="A42" s="6"/>
      <c r="B42" s="6"/>
      <c r="C42" s="6"/>
      <c r="D42" s="6" t="s">
        <v>241</v>
      </c>
      <c r="E42" s="8" t="s">
        <v>242</v>
      </c>
      <c r="F42" s="6" t="s">
        <v>212</v>
      </c>
      <c r="G42" s="6" t="s">
        <v>52</v>
      </c>
      <c r="H42" s="6" t="s">
        <v>43</v>
      </c>
      <c r="I42" s="6" t="s">
        <v>42</v>
      </c>
      <c r="J42" s="6"/>
      <c r="K42" s="9" t="n">
        <v>150000</v>
      </c>
      <c r="L42" s="6" t="s">
        <v>195</v>
      </c>
      <c r="M42" s="6"/>
      <c r="N42" s="6"/>
      <c r="O42" s="6"/>
      <c r="P42" s="6"/>
      <c r="Q42" s="6"/>
      <c r="R42" s="6"/>
      <c r="S42" s="6"/>
      <c r="T42" s="6"/>
    </row>
    <row r="43" customFormat="false" ht="15" hidden="false" customHeight="false" outlineLevel="0" collapsed="false">
      <c r="A43" s="6"/>
      <c r="B43" s="6"/>
      <c r="C43" s="6"/>
      <c r="D43" s="6" t="s">
        <v>243</v>
      </c>
      <c r="E43" s="8" t="s">
        <v>244</v>
      </c>
      <c r="F43" s="6" t="s">
        <v>190</v>
      </c>
      <c r="G43" s="6" t="s">
        <v>52</v>
      </c>
      <c r="H43" s="6" t="s">
        <v>43</v>
      </c>
      <c r="I43" s="6" t="s">
        <v>42</v>
      </c>
      <c r="J43" s="6"/>
      <c r="K43" s="9" t="n">
        <v>150000</v>
      </c>
      <c r="L43" s="6" t="s">
        <v>195</v>
      </c>
      <c r="M43" s="6"/>
      <c r="N43" s="6"/>
      <c r="O43" s="6"/>
      <c r="P43" s="6"/>
      <c r="Q43" s="6"/>
      <c r="R43" s="6"/>
      <c r="S43" s="6"/>
      <c r="T43" s="6"/>
    </row>
    <row r="44" customFormat="false" ht="15" hidden="false" customHeight="false" outlineLevel="0" collapsed="false">
      <c r="A44" s="6"/>
      <c r="B44" s="6"/>
      <c r="C44" s="6"/>
      <c r="D44" s="6" t="s">
        <v>245</v>
      </c>
      <c r="E44" s="8" t="s">
        <v>246</v>
      </c>
      <c r="F44" s="6" t="s">
        <v>247</v>
      </c>
      <c r="G44" s="6" t="s">
        <v>57</v>
      </c>
      <c r="H44" s="6" t="s">
        <v>43</v>
      </c>
      <c r="I44" s="6" t="s">
        <v>42</v>
      </c>
      <c r="J44" s="6"/>
      <c r="K44" s="9" t="n">
        <v>150000</v>
      </c>
      <c r="L44" s="6" t="s">
        <v>195</v>
      </c>
      <c r="M44" s="6"/>
      <c r="N44" s="6"/>
      <c r="O44" s="6"/>
      <c r="P44" s="6"/>
      <c r="Q44" s="6"/>
      <c r="R44" s="6"/>
      <c r="S44" s="6"/>
      <c r="T44" s="6"/>
    </row>
    <row r="45" customFormat="false" ht="15" hidden="false" customHeight="false" outlineLevel="0" collapsed="false">
      <c r="A45" s="6"/>
      <c r="B45" s="6"/>
      <c r="C45" s="6"/>
      <c r="D45" s="6" t="s">
        <v>248</v>
      </c>
      <c r="E45" s="8" t="s">
        <v>249</v>
      </c>
      <c r="F45" s="6" t="s">
        <v>219</v>
      </c>
      <c r="G45" s="6" t="s">
        <v>61</v>
      </c>
      <c r="H45" s="6" t="s">
        <v>43</v>
      </c>
      <c r="I45" s="6" t="s">
        <v>42</v>
      </c>
      <c r="J45" s="6"/>
      <c r="K45" s="9" t="n">
        <v>150000</v>
      </c>
      <c r="L45" s="6" t="s">
        <v>195</v>
      </c>
      <c r="M45" s="6"/>
      <c r="N45" s="6"/>
      <c r="O45" s="6"/>
      <c r="P45" s="6"/>
      <c r="Q45" s="6"/>
      <c r="R45" s="6"/>
      <c r="S45" s="6"/>
      <c r="T45" s="6"/>
    </row>
    <row r="46" customFormat="false" ht="15" hidden="false" customHeight="false" outlineLevel="0" collapsed="false">
      <c r="A46" s="6"/>
      <c r="B46" s="6"/>
      <c r="C46" s="6"/>
      <c r="D46" s="6" t="s">
        <v>250</v>
      </c>
      <c r="E46" s="8" t="s">
        <v>251</v>
      </c>
      <c r="F46" s="6" t="s">
        <v>252</v>
      </c>
      <c r="G46" s="6" t="s">
        <v>57</v>
      </c>
      <c r="H46" s="6" t="s">
        <v>43</v>
      </c>
      <c r="I46" s="6" t="s">
        <v>42</v>
      </c>
      <c r="J46" s="6"/>
      <c r="K46" s="9" t="n">
        <v>150000</v>
      </c>
      <c r="L46" s="6" t="s">
        <v>195</v>
      </c>
      <c r="M46" s="6"/>
      <c r="N46" s="6"/>
      <c r="O46" s="6"/>
      <c r="P46" s="6"/>
      <c r="Q46" s="6"/>
      <c r="R46" s="6"/>
      <c r="S46" s="6"/>
      <c r="T46" s="6"/>
    </row>
    <row r="47" customFormat="false" ht="15" hidden="false" customHeight="false" outlineLevel="0" collapsed="false">
      <c r="A47" s="6"/>
      <c r="B47" s="6"/>
      <c r="C47" s="6"/>
      <c r="D47" s="6" t="s">
        <v>253</v>
      </c>
      <c r="E47" s="8" t="s">
        <v>254</v>
      </c>
      <c r="F47" s="6" t="s">
        <v>255</v>
      </c>
      <c r="G47" s="6" t="s">
        <v>70</v>
      </c>
      <c r="H47" s="6" t="s">
        <v>43</v>
      </c>
      <c r="I47" s="6" t="s">
        <v>66</v>
      </c>
      <c r="J47" s="6"/>
      <c r="K47" s="9" t="n">
        <v>150000</v>
      </c>
      <c r="L47" s="6" t="s">
        <v>195</v>
      </c>
      <c r="M47" s="6"/>
      <c r="N47" s="6"/>
      <c r="O47" s="6"/>
      <c r="P47" s="6"/>
      <c r="Q47" s="6"/>
      <c r="R47" s="6"/>
      <c r="S47" s="6"/>
      <c r="T47" s="6"/>
    </row>
    <row r="48" customFormat="false" ht="15" hidden="false" customHeight="false" outlineLevel="0" collapsed="false">
      <c r="A48" s="6"/>
      <c r="B48" s="6"/>
      <c r="C48" s="6"/>
      <c r="D48" s="6" t="s">
        <v>250</v>
      </c>
      <c r="E48" s="8" t="s">
        <v>251</v>
      </c>
      <c r="F48" s="6" t="s">
        <v>206</v>
      </c>
      <c r="G48" s="6" t="s">
        <v>160</v>
      </c>
      <c r="H48" s="6" t="s">
        <v>43</v>
      </c>
      <c r="I48" s="6" t="s">
        <v>92</v>
      </c>
      <c r="J48" s="6"/>
      <c r="K48" s="9" t="n">
        <v>150000</v>
      </c>
      <c r="L48" s="6" t="s">
        <v>195</v>
      </c>
      <c r="M48" s="6"/>
      <c r="N48" s="6"/>
      <c r="O48" s="6"/>
      <c r="P48" s="6"/>
      <c r="Q48" s="6"/>
      <c r="R48" s="6"/>
      <c r="S48" s="6"/>
      <c r="T48" s="6"/>
    </row>
    <row r="49" customFormat="false" ht="15" hidden="false" customHeight="false" outlineLevel="0" collapsed="false">
      <c r="A49" s="6"/>
      <c r="B49" s="6"/>
      <c r="C49" s="6"/>
      <c r="D49" s="6" t="s">
        <v>256</v>
      </c>
      <c r="E49" s="8" t="s">
        <v>257</v>
      </c>
      <c r="F49" s="6" t="s">
        <v>219</v>
      </c>
      <c r="G49" s="6" t="s">
        <v>57</v>
      </c>
      <c r="H49" s="6" t="s">
        <v>43</v>
      </c>
      <c r="I49" s="6" t="s">
        <v>42</v>
      </c>
      <c r="J49" s="6"/>
      <c r="K49" s="9" t="n">
        <v>150000</v>
      </c>
      <c r="L49" s="6" t="s">
        <v>195</v>
      </c>
      <c r="M49" s="6"/>
      <c r="N49" s="6"/>
      <c r="O49" s="6"/>
      <c r="P49" s="6"/>
      <c r="Q49" s="6"/>
      <c r="R49" s="6"/>
      <c r="S49" s="6"/>
      <c r="T49" s="6"/>
    </row>
    <row r="50" customFormat="false" ht="15" hidden="false" customHeight="false" outlineLevel="0" collapsed="false">
      <c r="A50" s="6"/>
      <c r="B50" s="6"/>
      <c r="C50" s="6"/>
      <c r="D50" s="6" t="s">
        <v>256</v>
      </c>
      <c r="E50" s="8" t="s">
        <v>257</v>
      </c>
      <c r="F50" s="6" t="s">
        <v>223</v>
      </c>
      <c r="G50" s="6" t="s">
        <v>172</v>
      </c>
      <c r="H50" s="6" t="s">
        <v>43</v>
      </c>
      <c r="I50" s="6" t="s">
        <v>42</v>
      </c>
      <c r="J50" s="6"/>
      <c r="K50" s="9" t="n">
        <v>150000</v>
      </c>
      <c r="L50" s="6" t="s">
        <v>195</v>
      </c>
      <c r="M50" s="6"/>
      <c r="N50" s="6"/>
      <c r="O50" s="6"/>
      <c r="P50" s="6"/>
      <c r="Q50" s="6"/>
      <c r="R50" s="6"/>
      <c r="S50" s="6"/>
      <c r="T50" s="6"/>
    </row>
    <row r="51" customFormat="false" ht="15" hidden="false" customHeight="false" outlineLevel="0" collapsed="false">
      <c r="A51" s="6"/>
      <c r="B51" s="6"/>
      <c r="C51" s="6"/>
      <c r="D51" s="6" t="s">
        <v>256</v>
      </c>
      <c r="E51" s="8" t="s">
        <v>257</v>
      </c>
      <c r="F51" s="6" t="s">
        <v>209</v>
      </c>
      <c r="G51" s="6" t="s">
        <v>172</v>
      </c>
      <c r="H51" s="6" t="s">
        <v>43</v>
      </c>
      <c r="I51" s="6" t="s">
        <v>42</v>
      </c>
      <c r="J51" s="6"/>
      <c r="K51" s="9" t="n">
        <v>150000</v>
      </c>
      <c r="L51" s="6" t="s">
        <v>195</v>
      </c>
      <c r="M51" s="6"/>
      <c r="N51" s="6"/>
      <c r="O51" s="6"/>
      <c r="P51" s="6"/>
      <c r="Q51" s="6"/>
      <c r="R51" s="6"/>
      <c r="S51" s="6"/>
      <c r="T51" s="6"/>
    </row>
    <row r="52" customFormat="false" ht="15" hidden="false" customHeight="false" outlineLevel="0" collapsed="false">
      <c r="A52" s="6"/>
      <c r="B52" s="6"/>
      <c r="C52" s="6"/>
      <c r="D52" s="6" t="s">
        <v>258</v>
      </c>
      <c r="E52" s="8" t="s">
        <v>259</v>
      </c>
      <c r="F52" s="6" t="s">
        <v>247</v>
      </c>
      <c r="G52" s="6" t="s">
        <v>59</v>
      </c>
      <c r="H52" s="6" t="s">
        <v>43</v>
      </c>
      <c r="I52" s="6" t="s">
        <v>42</v>
      </c>
      <c r="J52" s="6"/>
      <c r="K52" s="9" t="n">
        <v>150000</v>
      </c>
      <c r="L52" s="6" t="s">
        <v>195</v>
      </c>
      <c r="M52" s="6"/>
      <c r="N52" s="6"/>
      <c r="O52" s="6"/>
      <c r="P52" s="6"/>
      <c r="Q52" s="6"/>
      <c r="R52" s="6"/>
      <c r="S52" s="6"/>
      <c r="T52" s="6"/>
    </row>
    <row r="53" customFormat="false" ht="15" hidden="false" customHeight="false" outlineLevel="0" collapsed="false">
      <c r="A53" s="6"/>
      <c r="B53" s="6"/>
      <c r="C53" s="6"/>
      <c r="D53" s="6" t="s">
        <v>260</v>
      </c>
      <c r="E53" s="8" t="s">
        <v>261</v>
      </c>
      <c r="F53" s="6" t="s">
        <v>206</v>
      </c>
      <c r="G53" s="6" t="s">
        <v>160</v>
      </c>
      <c r="H53" s="6" t="s">
        <v>43</v>
      </c>
      <c r="I53" s="6" t="s">
        <v>92</v>
      </c>
      <c r="J53" s="6"/>
      <c r="K53" s="9" t="n">
        <v>150000</v>
      </c>
      <c r="L53" s="6" t="s">
        <v>195</v>
      </c>
      <c r="M53" s="6"/>
      <c r="N53" s="6"/>
      <c r="O53" s="6"/>
      <c r="P53" s="6"/>
      <c r="Q53" s="6"/>
      <c r="R53" s="6"/>
      <c r="S53" s="6"/>
      <c r="T53" s="6"/>
    </row>
    <row r="54" customFormat="false" ht="15" hidden="false" customHeight="false" outlineLevel="0" collapsed="false">
      <c r="A54" s="6"/>
      <c r="B54" s="6"/>
      <c r="C54" s="6"/>
      <c r="D54" s="6" t="s">
        <v>262</v>
      </c>
      <c r="E54" s="8" t="s">
        <v>263</v>
      </c>
      <c r="F54" s="6" t="s">
        <v>206</v>
      </c>
      <c r="G54" s="6" t="s">
        <v>160</v>
      </c>
      <c r="H54" s="6" t="s">
        <v>43</v>
      </c>
      <c r="I54" s="6" t="s">
        <v>92</v>
      </c>
      <c r="J54" s="6"/>
      <c r="K54" s="9" t="n">
        <v>150000</v>
      </c>
      <c r="L54" s="6" t="s">
        <v>195</v>
      </c>
      <c r="M54" s="6"/>
      <c r="N54" s="6"/>
      <c r="O54" s="6"/>
      <c r="P54" s="6"/>
      <c r="Q54" s="6"/>
      <c r="R54" s="6"/>
      <c r="S54" s="6"/>
      <c r="T54" s="6"/>
    </row>
    <row r="55" customFormat="false" ht="15" hidden="false" customHeight="false" outlineLevel="0" collapsed="false">
      <c r="A55" s="6"/>
      <c r="B55" s="6"/>
      <c r="C55" s="6"/>
      <c r="D55" s="6" t="s">
        <v>264</v>
      </c>
      <c r="E55" s="8" t="s">
        <v>265</v>
      </c>
      <c r="F55" s="6" t="s">
        <v>223</v>
      </c>
      <c r="G55" s="6" t="s">
        <v>59</v>
      </c>
      <c r="H55" s="6" t="s">
        <v>43</v>
      </c>
      <c r="I55" s="6" t="s">
        <v>42</v>
      </c>
      <c r="J55" s="6"/>
      <c r="K55" s="9" t="n">
        <v>150000</v>
      </c>
      <c r="L55" s="6" t="s">
        <v>195</v>
      </c>
      <c r="M55" s="6"/>
      <c r="N55" s="6"/>
      <c r="O55" s="6"/>
      <c r="P55" s="6"/>
      <c r="Q55" s="6"/>
      <c r="R55" s="6"/>
      <c r="S55" s="6"/>
      <c r="T55" s="6"/>
    </row>
    <row r="56" customFormat="false" ht="15" hidden="false" customHeight="false" outlineLevel="0" collapsed="false">
      <c r="A56" s="6"/>
      <c r="B56" s="6"/>
      <c r="C56" s="6"/>
      <c r="D56" s="6" t="s">
        <v>266</v>
      </c>
      <c r="E56" s="8" t="s">
        <v>267</v>
      </c>
      <c r="F56" s="6" t="s">
        <v>268</v>
      </c>
      <c r="G56" s="6" t="s">
        <v>70</v>
      </c>
      <c r="H56" s="6" t="s">
        <v>43</v>
      </c>
      <c r="I56" s="6" t="s">
        <v>66</v>
      </c>
      <c r="J56" s="6"/>
      <c r="K56" s="9" t="n">
        <v>150000</v>
      </c>
      <c r="L56" s="6" t="s">
        <v>195</v>
      </c>
      <c r="M56" s="6"/>
      <c r="N56" s="6"/>
      <c r="O56" s="6"/>
      <c r="P56" s="6"/>
      <c r="Q56" s="6"/>
      <c r="R56" s="6"/>
      <c r="S56" s="6"/>
      <c r="T56" s="6"/>
    </row>
    <row r="57" customFormat="false" ht="15" hidden="false" customHeight="false" outlineLevel="0" collapsed="false">
      <c r="A57" s="6"/>
      <c r="B57" s="6"/>
      <c r="C57" s="6"/>
      <c r="D57" s="6" t="s">
        <v>269</v>
      </c>
      <c r="E57" s="8" t="s">
        <v>270</v>
      </c>
      <c r="F57" s="6" t="s">
        <v>247</v>
      </c>
      <c r="G57" s="6" t="s">
        <v>57</v>
      </c>
      <c r="H57" s="6" t="s">
        <v>43</v>
      </c>
      <c r="I57" s="6" t="s">
        <v>42</v>
      </c>
      <c r="J57" s="6"/>
      <c r="K57" s="9" t="n">
        <v>150000</v>
      </c>
      <c r="L57" s="6" t="s">
        <v>195</v>
      </c>
      <c r="M57" s="6"/>
      <c r="N57" s="6"/>
      <c r="O57" s="6"/>
      <c r="P57" s="6"/>
      <c r="Q57" s="6"/>
      <c r="R57" s="6"/>
      <c r="S57" s="6"/>
      <c r="T57" s="6"/>
    </row>
    <row r="58" customFormat="false" ht="15" hidden="false" customHeight="false" outlineLevel="0" collapsed="false">
      <c r="A58" s="6"/>
      <c r="B58" s="6"/>
      <c r="C58" s="6"/>
      <c r="D58" s="6" t="s">
        <v>271</v>
      </c>
      <c r="E58" s="8" t="s">
        <v>272</v>
      </c>
      <c r="F58" s="6" t="s">
        <v>247</v>
      </c>
      <c r="G58" s="6" t="s">
        <v>57</v>
      </c>
      <c r="H58" s="6" t="s">
        <v>43</v>
      </c>
      <c r="I58" s="6" t="s">
        <v>42</v>
      </c>
      <c r="J58" s="6"/>
      <c r="K58" s="9" t="n">
        <v>150000</v>
      </c>
      <c r="L58" s="6" t="s">
        <v>195</v>
      </c>
      <c r="M58" s="6"/>
      <c r="N58" s="6" t="s">
        <v>273</v>
      </c>
      <c r="O58" s="6"/>
      <c r="P58" s="6"/>
      <c r="Q58" s="6"/>
      <c r="R58" s="6"/>
      <c r="S58" s="6"/>
      <c r="T58" s="6"/>
    </row>
    <row r="59" customFormat="false" ht="15" hidden="false" customHeight="false" outlineLevel="0" collapsed="false">
      <c r="A59" s="6"/>
      <c r="B59" s="6"/>
      <c r="C59" s="6"/>
      <c r="D59" s="6" t="s">
        <v>274</v>
      </c>
      <c r="E59" s="8" t="s">
        <v>267</v>
      </c>
      <c r="F59" s="6" t="s">
        <v>268</v>
      </c>
      <c r="G59" s="6" t="s">
        <v>70</v>
      </c>
      <c r="H59" s="6" t="s">
        <v>43</v>
      </c>
      <c r="I59" s="6" t="s">
        <v>66</v>
      </c>
      <c r="J59" s="6"/>
      <c r="K59" s="9" t="n">
        <v>150000</v>
      </c>
      <c r="L59" s="6" t="s">
        <v>195</v>
      </c>
      <c r="M59" s="6"/>
      <c r="N59" s="6" t="s">
        <v>275</v>
      </c>
      <c r="O59" s="6"/>
      <c r="P59" s="6"/>
      <c r="Q59" s="6"/>
      <c r="R59" s="6"/>
      <c r="S59" s="6"/>
      <c r="T59" s="6"/>
    </row>
    <row r="60" customFormat="false" ht="15" hidden="false" customHeight="false" outlineLevel="0" collapsed="false">
      <c r="A60" s="6"/>
      <c r="B60" s="6"/>
      <c r="C60" s="6"/>
      <c r="D60" s="6" t="s">
        <v>276</v>
      </c>
      <c r="E60" s="8" t="s">
        <v>277</v>
      </c>
      <c r="F60" s="6" t="s">
        <v>219</v>
      </c>
      <c r="G60" s="6" t="s">
        <v>70</v>
      </c>
      <c r="H60" s="6" t="s">
        <v>43</v>
      </c>
      <c r="I60" s="6" t="s">
        <v>66</v>
      </c>
      <c r="J60" s="6"/>
      <c r="K60" s="9" t="n">
        <v>150000</v>
      </c>
      <c r="L60" s="6" t="s">
        <v>195</v>
      </c>
      <c r="M60" s="6"/>
      <c r="N60" s="6"/>
      <c r="O60" s="6"/>
      <c r="P60" s="6"/>
      <c r="Q60" s="6"/>
      <c r="R60" s="6"/>
      <c r="S60" s="6"/>
      <c r="T60" s="6"/>
    </row>
    <row r="61" customFormat="false" ht="15" hidden="false" customHeight="false" outlineLevel="0" collapsed="false">
      <c r="A61" s="6"/>
      <c r="B61" s="6"/>
      <c r="C61" s="6"/>
      <c r="D61" s="6" t="s">
        <v>278</v>
      </c>
      <c r="E61" s="8" t="s">
        <v>279</v>
      </c>
      <c r="F61" s="6" t="s">
        <v>247</v>
      </c>
      <c r="G61" s="6" t="s">
        <v>172</v>
      </c>
      <c r="H61" s="6" t="s">
        <v>43</v>
      </c>
      <c r="I61" s="6" t="s">
        <v>42</v>
      </c>
      <c r="J61" s="6"/>
      <c r="K61" s="9" t="n">
        <v>150000</v>
      </c>
      <c r="L61" s="6" t="s">
        <v>195</v>
      </c>
      <c r="M61" s="6"/>
      <c r="N61" s="6"/>
      <c r="O61" s="6"/>
      <c r="P61" s="6"/>
      <c r="Q61" s="6"/>
      <c r="R61" s="6"/>
      <c r="S61" s="6"/>
      <c r="T61" s="6"/>
    </row>
    <row r="62" customFormat="false" ht="15" hidden="false" customHeight="false" outlineLevel="0" collapsed="false">
      <c r="A62" s="6"/>
      <c r="B62" s="6"/>
      <c r="C62" s="6"/>
      <c r="D62" s="6" t="s">
        <v>280</v>
      </c>
      <c r="E62" s="8" t="s">
        <v>281</v>
      </c>
      <c r="F62" s="6" t="s">
        <v>247</v>
      </c>
      <c r="G62" s="6" t="s">
        <v>57</v>
      </c>
      <c r="H62" s="6" t="s">
        <v>43</v>
      </c>
      <c r="I62" s="6" t="s">
        <v>42</v>
      </c>
      <c r="J62" s="6"/>
      <c r="K62" s="9" t="n">
        <v>150000</v>
      </c>
      <c r="L62" s="6" t="s">
        <v>195</v>
      </c>
      <c r="M62" s="6"/>
      <c r="N62" s="6"/>
      <c r="O62" s="6"/>
      <c r="P62" s="6"/>
      <c r="Q62" s="6"/>
      <c r="R62" s="6"/>
      <c r="S62" s="6"/>
      <c r="T62" s="6"/>
    </row>
    <row r="63" customFormat="false" ht="15" hidden="false" customHeight="false" outlineLevel="0" collapsed="false">
      <c r="A63" s="6"/>
      <c r="B63" s="6"/>
      <c r="C63" s="6"/>
      <c r="D63" s="6" t="s">
        <v>282</v>
      </c>
      <c r="E63" s="8" t="s">
        <v>283</v>
      </c>
      <c r="F63" s="6" t="s">
        <v>206</v>
      </c>
      <c r="G63" s="6" t="s">
        <v>172</v>
      </c>
      <c r="H63" s="6" t="s">
        <v>43</v>
      </c>
      <c r="I63" s="6" t="s">
        <v>92</v>
      </c>
      <c r="J63" s="6"/>
      <c r="K63" s="9" t="n">
        <v>150000</v>
      </c>
      <c r="L63" s="6" t="s">
        <v>195</v>
      </c>
      <c r="M63" s="6"/>
      <c r="N63" s="6"/>
      <c r="O63" s="6"/>
      <c r="P63" s="6"/>
      <c r="Q63" s="6"/>
      <c r="R63" s="6"/>
      <c r="S63" s="6"/>
      <c r="T63" s="6"/>
    </row>
    <row r="64" customFormat="false" ht="15" hidden="false" customHeight="false" outlineLevel="0" collapsed="false">
      <c r="A64" s="6"/>
      <c r="B64" s="6"/>
      <c r="C64" s="6"/>
      <c r="D64" s="6" t="s">
        <v>284</v>
      </c>
      <c r="E64" s="8" t="s">
        <v>285</v>
      </c>
      <c r="F64" s="6" t="s">
        <v>286</v>
      </c>
      <c r="G64" s="6" t="s">
        <v>57</v>
      </c>
      <c r="H64" s="6" t="s">
        <v>43</v>
      </c>
      <c r="I64" s="6" t="s">
        <v>42</v>
      </c>
      <c r="J64" s="6"/>
      <c r="K64" s="9" t="n">
        <v>150000</v>
      </c>
      <c r="L64" s="6" t="s">
        <v>195</v>
      </c>
      <c r="M64" s="6"/>
      <c r="N64" s="6"/>
      <c r="O64" s="6"/>
      <c r="P64" s="6"/>
      <c r="Q64" s="6"/>
      <c r="R64" s="6"/>
      <c r="S64" s="6"/>
      <c r="T64" s="6"/>
    </row>
    <row r="65" customFormat="false" ht="15" hidden="false" customHeight="false" outlineLevel="0" collapsed="false">
      <c r="A65" s="6"/>
      <c r="B65" s="6"/>
      <c r="C65" s="6"/>
      <c r="D65" s="6" t="s">
        <v>287</v>
      </c>
      <c r="E65" s="8" t="s">
        <v>288</v>
      </c>
      <c r="F65" s="6" t="s">
        <v>286</v>
      </c>
      <c r="G65" s="6" t="s">
        <v>57</v>
      </c>
      <c r="H65" s="6" t="s">
        <v>43</v>
      </c>
      <c r="I65" s="6" t="s">
        <v>42</v>
      </c>
      <c r="J65" s="6"/>
      <c r="K65" s="9" t="n">
        <v>150000</v>
      </c>
      <c r="L65" s="6" t="s">
        <v>195</v>
      </c>
      <c r="M65" s="6"/>
      <c r="N65" s="6" t="s">
        <v>289</v>
      </c>
      <c r="O65" s="6"/>
      <c r="P65" s="6"/>
      <c r="Q65" s="6"/>
      <c r="R65" s="6"/>
      <c r="S65" s="6"/>
      <c r="T65" s="6"/>
    </row>
    <row r="66" customFormat="false" ht="15" hidden="false" customHeight="false" outlineLevel="0" collapsed="false">
      <c r="A66" s="6"/>
      <c r="B66" s="6"/>
      <c r="C66" s="6"/>
      <c r="D66" s="6" t="s">
        <v>290</v>
      </c>
      <c r="E66" s="8" t="s">
        <v>291</v>
      </c>
      <c r="F66" s="6" t="s">
        <v>286</v>
      </c>
      <c r="G66" s="6" t="s">
        <v>57</v>
      </c>
      <c r="H66" s="6" t="s">
        <v>43</v>
      </c>
      <c r="I66" s="6" t="s">
        <v>42</v>
      </c>
      <c r="J66" s="6"/>
      <c r="K66" s="9" t="n">
        <v>150000</v>
      </c>
      <c r="L66" s="6" t="s">
        <v>195</v>
      </c>
      <c r="M66" s="6"/>
      <c r="N66" s="6" t="s">
        <v>289</v>
      </c>
      <c r="O66" s="6"/>
      <c r="P66" s="6"/>
      <c r="Q66" s="6"/>
      <c r="R66" s="6"/>
      <c r="S66" s="6"/>
      <c r="T66" s="6"/>
    </row>
    <row r="67" customFormat="false" ht="15" hidden="false" customHeight="false" outlineLevel="0" collapsed="false">
      <c r="A67" s="6"/>
      <c r="B67" s="6"/>
      <c r="C67" s="6"/>
      <c r="D67" s="6" t="s">
        <v>292</v>
      </c>
      <c r="E67" s="8" t="s">
        <v>293</v>
      </c>
      <c r="F67" s="6" t="s">
        <v>286</v>
      </c>
      <c r="G67" s="6" t="s">
        <v>57</v>
      </c>
      <c r="H67" s="6" t="s">
        <v>43</v>
      </c>
      <c r="I67" s="6" t="s">
        <v>42</v>
      </c>
      <c r="J67" s="6"/>
      <c r="K67" s="9" t="n">
        <v>150000</v>
      </c>
      <c r="L67" s="6" t="s">
        <v>195</v>
      </c>
      <c r="M67" s="6"/>
      <c r="N67" s="6" t="s">
        <v>289</v>
      </c>
      <c r="O67" s="6"/>
      <c r="P67" s="6"/>
      <c r="Q67" s="6"/>
      <c r="R67" s="6"/>
      <c r="S67" s="6"/>
      <c r="T67" s="6"/>
    </row>
    <row r="68" customFormat="false" ht="15" hidden="false" customHeight="false" outlineLevel="0" collapsed="false">
      <c r="A68" s="6"/>
      <c r="B68" s="6"/>
      <c r="C68" s="6"/>
      <c r="D68" s="6" t="s">
        <v>294</v>
      </c>
      <c r="E68" s="8" t="s">
        <v>295</v>
      </c>
      <c r="F68" s="6" t="s">
        <v>209</v>
      </c>
      <c r="G68" s="6" t="s">
        <v>172</v>
      </c>
      <c r="H68" s="6" t="s">
        <v>43</v>
      </c>
      <c r="I68" s="6" t="s">
        <v>42</v>
      </c>
      <c r="J68" s="6"/>
      <c r="K68" s="9" t="n">
        <v>150000</v>
      </c>
      <c r="L68" s="6" t="s">
        <v>195</v>
      </c>
      <c r="M68" s="6"/>
      <c r="N68" s="6"/>
      <c r="O68" s="6"/>
      <c r="P68" s="6"/>
      <c r="Q68" s="6"/>
      <c r="R68" s="6"/>
      <c r="S68" s="6"/>
      <c r="T68" s="6"/>
    </row>
    <row r="69" customFormat="false" ht="15" hidden="false" customHeight="false" outlineLevel="0" collapsed="false">
      <c r="A69" s="6"/>
      <c r="B69" s="6"/>
      <c r="C69" s="6"/>
      <c r="D69" s="6" t="s">
        <v>296</v>
      </c>
      <c r="E69" s="8" t="s">
        <v>297</v>
      </c>
      <c r="F69" s="6" t="s">
        <v>206</v>
      </c>
      <c r="G69" s="6" t="s">
        <v>160</v>
      </c>
      <c r="H69" s="6" t="s">
        <v>43</v>
      </c>
      <c r="I69" s="6" t="s">
        <v>92</v>
      </c>
      <c r="J69" s="6"/>
      <c r="K69" s="9" t="n">
        <v>150000</v>
      </c>
      <c r="L69" s="6" t="s">
        <v>195</v>
      </c>
      <c r="M69" s="6"/>
      <c r="N69" s="6"/>
      <c r="O69" s="6"/>
      <c r="P69" s="6"/>
      <c r="Q69" s="6"/>
      <c r="R69" s="6"/>
      <c r="S69" s="6"/>
      <c r="T69" s="6"/>
    </row>
    <row r="70" customFormat="false" ht="15" hidden="false" customHeight="false" outlineLevel="0" collapsed="false">
      <c r="A70" s="6"/>
      <c r="B70" s="6"/>
      <c r="C70" s="6"/>
      <c r="D70" s="6" t="s">
        <v>298</v>
      </c>
      <c r="E70" s="8" t="s">
        <v>299</v>
      </c>
      <c r="F70" s="6" t="s">
        <v>247</v>
      </c>
      <c r="G70" s="6" t="s">
        <v>57</v>
      </c>
      <c r="H70" s="6" t="s">
        <v>43</v>
      </c>
      <c r="I70" s="6" t="s">
        <v>42</v>
      </c>
      <c r="J70" s="6" t="s">
        <v>173</v>
      </c>
      <c r="K70" s="9" t="n">
        <v>150000</v>
      </c>
      <c r="L70" s="6" t="s">
        <v>195</v>
      </c>
      <c r="M70" s="6"/>
      <c r="N70" s="6"/>
      <c r="O70" s="6"/>
      <c r="P70" s="6"/>
      <c r="Q70" s="6"/>
      <c r="R70" s="6"/>
      <c r="S70" s="6"/>
      <c r="T70" s="6"/>
    </row>
    <row r="71" customFormat="false" ht="15" hidden="false" customHeight="false" outlineLevel="0" collapsed="false">
      <c r="A71" s="6"/>
      <c r="B71" s="6"/>
      <c r="C71" s="6"/>
      <c r="D71" s="6" t="s">
        <v>300</v>
      </c>
      <c r="E71" s="8" t="s">
        <v>301</v>
      </c>
      <c r="F71" s="6" t="s">
        <v>206</v>
      </c>
      <c r="G71" s="6" t="s">
        <v>160</v>
      </c>
      <c r="H71" s="6" t="s">
        <v>43</v>
      </c>
      <c r="I71" s="6" t="s">
        <v>92</v>
      </c>
      <c r="J71" s="6"/>
      <c r="K71" s="9" t="n">
        <v>150000</v>
      </c>
      <c r="L71" s="6" t="s">
        <v>195</v>
      </c>
      <c r="M71" s="6"/>
      <c r="N71" s="6"/>
      <c r="O71" s="6"/>
      <c r="P71" s="6"/>
      <c r="Q71" s="6"/>
      <c r="R71" s="6"/>
      <c r="S71" s="6"/>
      <c r="T71" s="6"/>
    </row>
    <row r="72" customFormat="false" ht="15" hidden="false" customHeight="false" outlineLevel="0" collapsed="false">
      <c r="A72" s="6"/>
      <c r="B72" s="6" t="s">
        <v>148</v>
      </c>
      <c r="C72" s="6" t="s">
        <v>149</v>
      </c>
      <c r="D72" s="6" t="s">
        <v>302</v>
      </c>
      <c r="E72" s="8" t="s">
        <v>279</v>
      </c>
      <c r="F72" s="6" t="s">
        <v>303</v>
      </c>
      <c r="G72" s="6" t="s">
        <v>172</v>
      </c>
      <c r="H72" s="6" t="s">
        <v>43</v>
      </c>
      <c r="I72" s="6" t="s">
        <v>42</v>
      </c>
      <c r="J72" s="6" t="s">
        <v>173</v>
      </c>
      <c r="K72" s="9" t="n">
        <v>150000</v>
      </c>
      <c r="L72" s="6" t="s">
        <v>195</v>
      </c>
      <c r="M72" s="6"/>
      <c r="N72" s="6"/>
      <c r="O72" s="6"/>
      <c r="P72" s="6"/>
      <c r="Q72" s="6"/>
      <c r="R72" s="6"/>
      <c r="S72" s="6"/>
      <c r="T72" s="6"/>
    </row>
    <row r="73" customFormat="false" ht="15" hidden="false" customHeight="false" outlineLevel="0" collapsed="false">
      <c r="A73" s="6"/>
      <c r="B73" s="6" t="s">
        <v>148</v>
      </c>
      <c r="C73" s="6" t="s">
        <v>149</v>
      </c>
      <c r="D73" s="6" t="s">
        <v>304</v>
      </c>
      <c r="E73" s="8" t="s">
        <v>305</v>
      </c>
      <c r="F73" s="6" t="s">
        <v>303</v>
      </c>
      <c r="G73" s="6" t="s">
        <v>172</v>
      </c>
      <c r="H73" s="6" t="s">
        <v>43</v>
      </c>
      <c r="I73" s="6" t="s">
        <v>42</v>
      </c>
      <c r="J73" s="6" t="s">
        <v>173</v>
      </c>
      <c r="K73" s="9" t="n">
        <v>150000</v>
      </c>
      <c r="L73" s="6" t="s">
        <v>195</v>
      </c>
      <c r="M73" s="6"/>
      <c r="N73" s="6"/>
      <c r="O73" s="6"/>
      <c r="P73" s="6"/>
      <c r="Q73" s="6"/>
      <c r="R73" s="6"/>
      <c r="S73" s="6"/>
      <c r="T73" s="6"/>
    </row>
    <row r="74" customFormat="false" ht="15" hidden="false" customHeight="false" outlineLevel="0" collapsed="false">
      <c r="A74" s="6"/>
      <c r="B74" s="6" t="s">
        <v>148</v>
      </c>
      <c r="C74" s="6" t="s">
        <v>149</v>
      </c>
      <c r="D74" s="6" t="s">
        <v>306</v>
      </c>
      <c r="E74" s="8" t="s">
        <v>307</v>
      </c>
      <c r="F74" s="6" t="s">
        <v>303</v>
      </c>
      <c r="G74" s="6" t="s">
        <v>172</v>
      </c>
      <c r="H74" s="6" t="s">
        <v>43</v>
      </c>
      <c r="I74" s="6" t="s">
        <v>42</v>
      </c>
      <c r="J74" s="6" t="s">
        <v>173</v>
      </c>
      <c r="K74" s="9" t="n">
        <v>150000</v>
      </c>
      <c r="L74" s="6" t="s">
        <v>195</v>
      </c>
      <c r="M74" s="6"/>
      <c r="N74" s="6"/>
      <c r="O74" s="6"/>
      <c r="P74" s="6"/>
      <c r="Q74" s="6"/>
      <c r="R74" s="6"/>
      <c r="S74" s="6"/>
      <c r="T74" s="6"/>
    </row>
    <row r="75" customFormat="false" ht="15" hidden="false" customHeight="false" outlineLevel="0" collapsed="false">
      <c r="A75" s="6"/>
      <c r="B75" s="6" t="s">
        <v>148</v>
      </c>
      <c r="C75" s="6" t="s">
        <v>149</v>
      </c>
      <c r="D75" s="6" t="s">
        <v>308</v>
      </c>
      <c r="E75" s="8" t="s">
        <v>309</v>
      </c>
      <c r="F75" s="6" t="s">
        <v>310</v>
      </c>
      <c r="G75" s="6" t="s">
        <v>153</v>
      </c>
      <c r="H75" s="6" t="s">
        <v>43</v>
      </c>
      <c r="I75" s="6" t="s">
        <v>42</v>
      </c>
      <c r="J75" s="6" t="s">
        <v>173</v>
      </c>
      <c r="K75" s="9" t="n">
        <v>150000</v>
      </c>
      <c r="L75" s="6" t="s">
        <v>195</v>
      </c>
      <c r="M75" s="6"/>
      <c r="N75" s="6"/>
      <c r="O75" s="6"/>
      <c r="P75" s="6"/>
      <c r="Q75" s="6"/>
      <c r="R75" s="6"/>
      <c r="S75" s="6"/>
      <c r="T75" s="6"/>
    </row>
    <row r="76" customFormat="false" ht="15" hidden="false" customHeight="false" outlineLevel="0" collapsed="false">
      <c r="A76" s="6"/>
      <c r="B76" s="6" t="s">
        <v>148</v>
      </c>
      <c r="C76" s="6" t="s">
        <v>149</v>
      </c>
      <c r="D76" s="6" t="s">
        <v>311</v>
      </c>
      <c r="E76" s="8"/>
      <c r="F76" s="6" t="s">
        <v>310</v>
      </c>
      <c r="G76" s="6" t="s">
        <v>153</v>
      </c>
      <c r="H76" s="6" t="s">
        <v>43</v>
      </c>
      <c r="I76" s="6" t="s">
        <v>42</v>
      </c>
      <c r="J76" s="6" t="s">
        <v>173</v>
      </c>
      <c r="K76" s="9" t="n">
        <v>150000</v>
      </c>
      <c r="L76" s="6" t="s">
        <v>195</v>
      </c>
      <c r="M76" s="6"/>
      <c r="N76" s="6"/>
      <c r="O76" s="6"/>
      <c r="P76" s="6"/>
      <c r="Q76" s="6"/>
      <c r="R76" s="6"/>
      <c r="S76" s="6"/>
      <c r="T76" s="6"/>
    </row>
    <row r="77" customFormat="false" ht="15" hidden="false" customHeight="false" outlineLevel="0" collapsed="false">
      <c r="A77" s="6"/>
      <c r="B77" s="6"/>
      <c r="C77" s="6" t="s">
        <v>149</v>
      </c>
      <c r="D77" s="6" t="s">
        <v>169</v>
      </c>
      <c r="E77" s="8" t="s">
        <v>170</v>
      </c>
      <c r="F77" s="6" t="s">
        <v>312</v>
      </c>
      <c r="G77" s="6" t="s">
        <v>172</v>
      </c>
      <c r="H77" s="6" t="s">
        <v>43</v>
      </c>
      <c r="I77" s="6" t="s">
        <v>42</v>
      </c>
      <c r="J77" s="6" t="s">
        <v>173</v>
      </c>
      <c r="K77" s="9" t="n">
        <v>150000</v>
      </c>
      <c r="L77" s="6" t="s">
        <v>195</v>
      </c>
      <c r="M77" s="6"/>
      <c r="N77" s="6"/>
      <c r="O77" s="6"/>
      <c r="P77" s="6"/>
      <c r="Q77" s="6"/>
      <c r="R77" s="6"/>
      <c r="S77" s="6"/>
      <c r="T77" s="6"/>
    </row>
    <row r="78" customFormat="false" ht="15" hidden="false" customHeight="false" outlineLevel="0" collapsed="false">
      <c r="A78" s="6"/>
      <c r="B78" s="6"/>
      <c r="C78" s="6" t="s">
        <v>149</v>
      </c>
      <c r="D78" s="6" t="s">
        <v>313</v>
      </c>
      <c r="E78" s="8"/>
      <c r="F78" s="6" t="s">
        <v>312</v>
      </c>
      <c r="G78" s="6" t="s">
        <v>172</v>
      </c>
      <c r="H78" s="6" t="s">
        <v>43</v>
      </c>
      <c r="I78" s="6" t="s">
        <v>42</v>
      </c>
      <c r="J78" s="6" t="s">
        <v>173</v>
      </c>
      <c r="K78" s="9" t="n">
        <v>150000</v>
      </c>
      <c r="L78" s="6" t="s">
        <v>195</v>
      </c>
      <c r="M78" s="6"/>
      <c r="N78" s="6" t="s">
        <v>175</v>
      </c>
      <c r="O78" s="6"/>
      <c r="P78" s="6"/>
      <c r="Q78" s="6"/>
      <c r="R78" s="6"/>
      <c r="S78" s="6"/>
      <c r="T78" s="6"/>
    </row>
    <row r="79" customFormat="false" ht="15" hidden="false" customHeight="false" outlineLevel="0" collapsed="false">
      <c r="A79" s="6"/>
      <c r="B79" s="6"/>
      <c r="C79" s="6" t="s">
        <v>149</v>
      </c>
      <c r="D79" s="6" t="s">
        <v>314</v>
      </c>
      <c r="E79" s="8" t="s">
        <v>315</v>
      </c>
      <c r="F79" s="6" t="s">
        <v>316</v>
      </c>
      <c r="G79" s="6" t="s">
        <v>59</v>
      </c>
      <c r="H79" s="6" t="s">
        <v>73</v>
      </c>
      <c r="I79" s="6" t="s">
        <v>42</v>
      </c>
      <c r="J79" s="6" t="s">
        <v>173</v>
      </c>
      <c r="K79" s="9" t="n">
        <v>150000</v>
      </c>
      <c r="L79" s="6" t="s">
        <v>195</v>
      </c>
      <c r="M79" s="6"/>
      <c r="N79" s="6"/>
      <c r="O79" s="6"/>
      <c r="P79" s="6"/>
      <c r="Q79" s="6"/>
      <c r="R79" s="6"/>
      <c r="S79" s="6"/>
      <c r="T79" s="6"/>
    </row>
    <row r="80" customFormat="false" ht="15" hidden="false" customHeight="false" outlineLevel="0" collapsed="false">
      <c r="A80" s="6"/>
      <c r="B80" s="6"/>
      <c r="C80" s="6" t="s">
        <v>149</v>
      </c>
      <c r="D80" s="6" t="s">
        <v>317</v>
      </c>
      <c r="E80" s="8" t="s">
        <v>318</v>
      </c>
      <c r="F80" s="6" t="s">
        <v>319</v>
      </c>
      <c r="G80" s="6" t="s">
        <v>172</v>
      </c>
      <c r="H80" s="6" t="s">
        <v>43</v>
      </c>
      <c r="I80" s="6" t="s">
        <v>42</v>
      </c>
      <c r="J80" s="6" t="s">
        <v>173</v>
      </c>
      <c r="K80" s="9" t="n">
        <v>150000</v>
      </c>
      <c r="L80" s="6" t="s">
        <v>195</v>
      </c>
      <c r="M80" s="6"/>
      <c r="N80" s="6"/>
      <c r="O80" s="6"/>
      <c r="P80" s="6"/>
      <c r="Q80" s="6"/>
      <c r="R80" s="6"/>
      <c r="S80" s="6"/>
      <c r="T80" s="6"/>
    </row>
    <row r="81" customFormat="false" ht="15" hidden="false" customHeight="false" outlineLevel="0" collapsed="false">
      <c r="A81" s="6"/>
      <c r="B81" s="6"/>
      <c r="C81" s="6"/>
      <c r="D81" s="6" t="s">
        <v>320</v>
      </c>
      <c r="E81" s="8" t="s">
        <v>321</v>
      </c>
      <c r="F81" s="6" t="s">
        <v>322</v>
      </c>
      <c r="G81" s="6" t="s">
        <v>153</v>
      </c>
      <c r="H81" s="6" t="s">
        <v>43</v>
      </c>
      <c r="I81" s="6" t="s">
        <v>42</v>
      </c>
      <c r="J81" s="6" t="s">
        <v>173</v>
      </c>
      <c r="K81" s="9" t="n">
        <v>150000</v>
      </c>
      <c r="L81" s="6" t="s">
        <v>195</v>
      </c>
      <c r="M81" s="6"/>
      <c r="N81" s="6"/>
      <c r="O81" s="6"/>
      <c r="P81" s="6"/>
      <c r="Q81" s="6"/>
      <c r="R81" s="6"/>
      <c r="S81" s="6"/>
      <c r="T81" s="6"/>
    </row>
    <row r="82" customFormat="false" ht="15" hidden="false" customHeight="false" outlineLevel="0" collapsed="false">
      <c r="A82" s="6"/>
      <c r="B82" s="6"/>
      <c r="C82" s="6"/>
      <c r="D82" s="6" t="s">
        <v>323</v>
      </c>
      <c r="E82" s="8" t="s">
        <v>194</v>
      </c>
      <c r="F82" s="6" t="s">
        <v>312</v>
      </c>
      <c r="G82" s="6" t="s">
        <v>61</v>
      </c>
      <c r="H82" s="6" t="s">
        <v>43</v>
      </c>
      <c r="I82" s="6" t="s">
        <v>92</v>
      </c>
      <c r="J82" s="6" t="s">
        <v>173</v>
      </c>
      <c r="K82" s="9" t="n">
        <v>150000</v>
      </c>
      <c r="L82" s="6" t="s">
        <v>195</v>
      </c>
      <c r="M82" s="6"/>
      <c r="N82" s="6"/>
      <c r="O82" s="6"/>
      <c r="P82" s="6"/>
      <c r="Q82" s="6"/>
      <c r="R82" s="6"/>
      <c r="S82" s="6"/>
      <c r="T82" s="6"/>
    </row>
    <row r="83" customFormat="false" ht="15" hidden="false" customHeight="false" outlineLevel="0" collapsed="false">
      <c r="A83" s="6"/>
      <c r="B83" s="6"/>
      <c r="C83" s="6"/>
      <c r="D83" s="6" t="s">
        <v>324</v>
      </c>
      <c r="E83" s="8"/>
      <c r="F83" s="6" t="s">
        <v>312</v>
      </c>
      <c r="G83" s="6" t="s">
        <v>61</v>
      </c>
      <c r="H83" s="6" t="s">
        <v>43</v>
      </c>
      <c r="I83" s="6" t="s">
        <v>92</v>
      </c>
      <c r="J83" s="6" t="s">
        <v>173</v>
      </c>
      <c r="K83" s="9" t="n">
        <v>150000</v>
      </c>
      <c r="L83" s="6" t="s">
        <v>195</v>
      </c>
      <c r="M83" s="6"/>
      <c r="N83" s="6" t="s">
        <v>325</v>
      </c>
      <c r="O83" s="6"/>
      <c r="P83" s="6"/>
      <c r="Q83" s="6"/>
      <c r="R83" s="6"/>
      <c r="S83" s="6"/>
      <c r="T83" s="6"/>
    </row>
    <row r="84" customFormat="false" ht="15" hidden="false" customHeight="false" outlineLevel="0" collapsed="false">
      <c r="A84" s="6"/>
      <c r="B84" s="6"/>
      <c r="C84" s="6"/>
      <c r="D84" s="6" t="s">
        <v>326</v>
      </c>
      <c r="E84" s="8" t="s">
        <v>327</v>
      </c>
      <c r="F84" s="6" t="s">
        <v>322</v>
      </c>
      <c r="G84" s="6" t="s">
        <v>153</v>
      </c>
      <c r="H84" s="6" t="s">
        <v>43</v>
      </c>
      <c r="I84" s="6" t="s">
        <v>42</v>
      </c>
      <c r="J84" s="6" t="s">
        <v>173</v>
      </c>
      <c r="K84" s="9" t="n">
        <v>150000</v>
      </c>
      <c r="L84" s="6" t="s">
        <v>195</v>
      </c>
      <c r="M84" s="6"/>
      <c r="N84" s="6"/>
      <c r="O84" s="6"/>
      <c r="P84" s="6"/>
      <c r="Q84" s="6"/>
      <c r="R84" s="6"/>
      <c r="S84" s="6"/>
      <c r="T84" s="6"/>
    </row>
    <row r="85" customFormat="false" ht="15" hidden="false" customHeight="false" outlineLevel="0" collapsed="false">
      <c r="A85" s="6"/>
      <c r="B85" s="6"/>
      <c r="C85" s="6"/>
      <c r="D85" s="6" t="s">
        <v>328</v>
      </c>
      <c r="E85" s="8"/>
      <c r="F85" s="6" t="s">
        <v>322</v>
      </c>
      <c r="G85" s="6" t="s">
        <v>153</v>
      </c>
      <c r="H85" s="6" t="s">
        <v>43</v>
      </c>
      <c r="I85" s="6" t="s">
        <v>42</v>
      </c>
      <c r="J85" s="6" t="s">
        <v>173</v>
      </c>
      <c r="K85" s="9" t="n">
        <v>150000</v>
      </c>
      <c r="L85" s="6" t="s">
        <v>195</v>
      </c>
      <c r="M85" s="6"/>
      <c r="N85" s="6" t="s">
        <v>329</v>
      </c>
      <c r="O85" s="6"/>
      <c r="P85" s="6"/>
      <c r="Q85" s="6"/>
      <c r="R85" s="6"/>
      <c r="S85" s="6"/>
      <c r="T85" s="6"/>
    </row>
    <row r="86" customFormat="false" ht="15" hidden="false" customHeight="false" outlineLevel="0" collapsed="false">
      <c r="A86" s="6"/>
      <c r="B86" s="6"/>
      <c r="C86" s="6"/>
      <c r="D86" s="6" t="s">
        <v>330</v>
      </c>
      <c r="E86" s="8" t="s">
        <v>331</v>
      </c>
      <c r="F86" s="6" t="s">
        <v>322</v>
      </c>
      <c r="G86" s="6" t="s">
        <v>160</v>
      </c>
      <c r="H86" s="6" t="s">
        <v>43</v>
      </c>
      <c r="I86" s="6" t="s">
        <v>42</v>
      </c>
      <c r="J86" s="6" t="s">
        <v>173</v>
      </c>
      <c r="K86" s="9" t="n">
        <v>150000</v>
      </c>
      <c r="L86" s="6" t="s">
        <v>195</v>
      </c>
      <c r="M86" s="6"/>
      <c r="N86" s="6"/>
      <c r="O86" s="6"/>
      <c r="P86" s="6"/>
      <c r="Q86" s="6"/>
      <c r="R86" s="6"/>
      <c r="S86" s="6"/>
      <c r="T86" s="6"/>
    </row>
    <row r="87" customFormat="false" ht="15" hidden="false" customHeight="false" outlineLevel="0" collapsed="false">
      <c r="A87" s="6"/>
      <c r="B87" s="6"/>
      <c r="C87" s="6"/>
      <c r="D87" s="6" t="s">
        <v>332</v>
      </c>
      <c r="E87" s="8" t="s">
        <v>333</v>
      </c>
      <c r="F87" s="6" t="s">
        <v>322</v>
      </c>
      <c r="G87" s="6" t="s">
        <v>160</v>
      </c>
      <c r="H87" s="6" t="s">
        <v>43</v>
      </c>
      <c r="I87" s="6" t="s">
        <v>42</v>
      </c>
      <c r="J87" s="6" t="s">
        <v>173</v>
      </c>
      <c r="K87" s="9" t="n">
        <v>150000</v>
      </c>
      <c r="L87" s="6" t="s">
        <v>195</v>
      </c>
      <c r="M87" s="6"/>
      <c r="N87" s="6" t="s">
        <v>334</v>
      </c>
      <c r="O87" s="6"/>
      <c r="P87" s="6"/>
      <c r="Q87" s="6"/>
      <c r="R87" s="6"/>
      <c r="S87" s="6"/>
      <c r="T87" s="6"/>
    </row>
    <row r="88" customFormat="false" ht="15" hidden="false" customHeight="false" outlineLevel="0" collapsed="false">
      <c r="A88" s="6"/>
      <c r="B88" s="6"/>
      <c r="C88" s="6"/>
      <c r="D88" s="6" t="s">
        <v>335</v>
      </c>
      <c r="E88" s="8" t="s">
        <v>336</v>
      </c>
      <c r="F88" s="6" t="s">
        <v>322</v>
      </c>
      <c r="G88" s="6" t="s">
        <v>160</v>
      </c>
      <c r="H88" s="6" t="s">
        <v>43</v>
      </c>
      <c r="I88" s="6" t="s">
        <v>42</v>
      </c>
      <c r="J88" s="6" t="s">
        <v>173</v>
      </c>
      <c r="K88" s="9" t="n">
        <v>150000</v>
      </c>
      <c r="L88" s="6" t="s">
        <v>195</v>
      </c>
      <c r="M88" s="6"/>
      <c r="N88" s="6" t="s">
        <v>334</v>
      </c>
      <c r="O88" s="6"/>
      <c r="P88" s="6"/>
      <c r="Q88" s="6"/>
      <c r="R88" s="6"/>
      <c r="S88" s="6"/>
      <c r="T88" s="6"/>
    </row>
    <row r="89" customFormat="false" ht="15" hidden="false" customHeight="false" outlineLevel="0" collapsed="false">
      <c r="A89" s="6"/>
      <c r="B89" s="6"/>
      <c r="C89" s="6" t="s">
        <v>149</v>
      </c>
      <c r="D89" s="6" t="s">
        <v>337</v>
      </c>
      <c r="E89" s="8" t="s">
        <v>338</v>
      </c>
      <c r="F89" s="6" t="s">
        <v>322</v>
      </c>
      <c r="G89" s="6" t="s">
        <v>160</v>
      </c>
      <c r="H89" s="6" t="s">
        <v>43</v>
      </c>
      <c r="I89" s="6" t="s">
        <v>92</v>
      </c>
      <c r="J89" s="6" t="s">
        <v>173</v>
      </c>
      <c r="K89" s="9" t="n">
        <v>150000</v>
      </c>
      <c r="L89" s="6" t="s">
        <v>195</v>
      </c>
      <c r="M89" s="6"/>
      <c r="N89" s="6" t="s">
        <v>334</v>
      </c>
      <c r="O89" s="6"/>
      <c r="P89" s="6"/>
      <c r="Q89" s="6"/>
      <c r="R89" s="6"/>
      <c r="S89" s="6"/>
      <c r="T89" s="6"/>
    </row>
    <row r="90" customFormat="false" ht="15" hidden="false" customHeight="false" outlineLevel="0" collapsed="false">
      <c r="A90" s="6"/>
      <c r="B90" s="6"/>
      <c r="C90" s="6"/>
      <c r="D90" s="6" t="s">
        <v>165</v>
      </c>
      <c r="E90" s="8" t="s">
        <v>166</v>
      </c>
      <c r="F90" s="6" t="s">
        <v>316</v>
      </c>
      <c r="G90" s="6" t="s">
        <v>59</v>
      </c>
      <c r="H90" s="6" t="s">
        <v>73</v>
      </c>
      <c r="I90" s="6" t="s">
        <v>92</v>
      </c>
      <c r="J90" s="6"/>
      <c r="K90" s="9" t="n">
        <v>150000</v>
      </c>
      <c r="L90" s="6" t="s">
        <v>195</v>
      </c>
      <c r="M90" s="6" t="s">
        <v>198</v>
      </c>
      <c r="N90" s="6"/>
      <c r="O90" s="6"/>
      <c r="P90" s="6"/>
      <c r="Q90" s="6"/>
      <c r="R90" s="6"/>
      <c r="S90" s="6"/>
      <c r="T90" s="6"/>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s>
  <sheetData>
    <row r="1" customFormat="false" ht="15" hidden="false" customHeight="false" outlineLevel="0" collapsed="false">
      <c r="A1" s="1" t="s">
        <v>339</v>
      </c>
      <c r="B1" s="1"/>
    </row>
    <row r="3" customFormat="false" ht="15" hidden="false" customHeight="false" outlineLevel="0" collapsed="false">
      <c r="A3" s="2" t="s">
        <v>132</v>
      </c>
      <c r="B3" s="2" t="s">
        <v>340</v>
      </c>
    </row>
    <row r="4" customFormat="false" ht="15" hidden="false" customHeight="false" outlineLevel="0" collapsed="false">
      <c r="A4" s="6" t="s">
        <v>341</v>
      </c>
      <c r="B4" s="6" t="s">
        <v>342</v>
      </c>
    </row>
    <row r="5" customFormat="false" ht="15" hidden="false" customHeight="false" outlineLevel="0" collapsed="false">
      <c r="A5" s="6" t="s">
        <v>343</v>
      </c>
      <c r="B5" s="6" t="s">
        <v>344</v>
      </c>
    </row>
    <row r="6" customFormat="false" ht="15" hidden="false" customHeight="false" outlineLevel="0" collapsed="false">
      <c r="A6" s="6" t="s">
        <v>345</v>
      </c>
      <c r="B6" s="6" t="s">
        <v>346</v>
      </c>
    </row>
    <row r="7" customFormat="false" ht="15" hidden="false" customHeight="false" outlineLevel="0" collapsed="false">
      <c r="A7" s="6" t="s">
        <v>347</v>
      </c>
      <c r="B7" s="6" t="s">
        <v>348</v>
      </c>
    </row>
    <row r="8" customFormat="false" ht="15" hidden="false" customHeight="false" outlineLevel="0" collapsed="false">
      <c r="A8" s="6" t="s">
        <v>349</v>
      </c>
      <c r="B8" s="6" t="s">
        <v>350</v>
      </c>
    </row>
    <row r="9" customFormat="false" ht="15" hidden="false" customHeight="false" outlineLevel="0" collapsed="false">
      <c r="A9" s="6" t="s">
        <v>351</v>
      </c>
      <c r="B9" s="6" t="s">
        <v>352</v>
      </c>
    </row>
    <row r="10" customFormat="false" ht="15" hidden="false" customHeight="false" outlineLevel="0" collapsed="false">
      <c r="A10" s="6" t="s">
        <v>353</v>
      </c>
      <c r="B10" s="6" t="s">
        <v>354</v>
      </c>
    </row>
    <row r="11" customFormat="false" ht="15" hidden="false" customHeight="false" outlineLevel="0" collapsed="false">
      <c r="A11" s="6" t="s">
        <v>355</v>
      </c>
      <c r="B11" s="6" t="s">
        <v>356</v>
      </c>
    </row>
    <row r="14" customFormat="false" ht="15" hidden="false" customHeight="false" outlineLevel="0" collapsed="false">
      <c r="A14" s="5" t="s">
        <v>357</v>
      </c>
      <c r="B14" s="5"/>
    </row>
    <row r="16" customFormat="false" ht="15" hidden="false" customHeight="false" outlineLevel="0" collapsed="false">
      <c r="A16" s="10" t="s">
        <v>358</v>
      </c>
    </row>
    <row r="17" customFormat="false" ht="15" hidden="false" customHeight="false" outlineLevel="0" collapsed="false">
      <c r="A17" s="2" t="s">
        <v>359</v>
      </c>
      <c r="B17" s="2" t="s">
        <v>360</v>
      </c>
    </row>
    <row r="18" customFormat="false" ht="15" hidden="false" customHeight="false" outlineLevel="0" collapsed="false">
      <c r="A18" s="6" t="s">
        <v>131</v>
      </c>
      <c r="B18" s="6" t="s">
        <v>361</v>
      </c>
    </row>
    <row r="19" customFormat="false" ht="15" hidden="false" customHeight="false" outlineLevel="0" collapsed="false">
      <c r="A19" s="6" t="s">
        <v>26</v>
      </c>
      <c r="B19" s="6" t="s">
        <v>361</v>
      </c>
    </row>
    <row r="20" customFormat="false" ht="15" hidden="false" customHeight="false" outlineLevel="0" collapsed="false">
      <c r="A20" s="6" t="s">
        <v>132</v>
      </c>
      <c r="B20" s="6" t="s">
        <v>361</v>
      </c>
    </row>
    <row r="21" customFormat="false" ht="15" hidden="false" customHeight="false" outlineLevel="0" collapsed="false">
      <c r="A21" s="6" t="s">
        <v>133</v>
      </c>
      <c r="B21" s="6" t="s">
        <v>361</v>
      </c>
    </row>
    <row r="22" customFormat="false" ht="15" hidden="false" customHeight="false" outlineLevel="0" collapsed="false">
      <c r="A22" s="6" t="s">
        <v>134</v>
      </c>
      <c r="B22" s="6" t="s">
        <v>362</v>
      </c>
    </row>
    <row r="23" customFormat="false" ht="15" hidden="false" customHeight="false" outlineLevel="0" collapsed="false">
      <c r="A23" s="6" t="s">
        <v>135</v>
      </c>
      <c r="B23" s="6" t="s">
        <v>363</v>
      </c>
    </row>
    <row r="24" customFormat="false" ht="15" hidden="false" customHeight="false" outlineLevel="0" collapsed="false">
      <c r="A24" s="6" t="s">
        <v>136</v>
      </c>
      <c r="B24" s="6" t="s">
        <v>363</v>
      </c>
    </row>
    <row r="25" customFormat="false" ht="15" hidden="false" customHeight="false" outlineLevel="0" collapsed="false">
      <c r="A25" s="6" t="s">
        <v>30</v>
      </c>
      <c r="B25" s="6" t="s">
        <v>363</v>
      </c>
    </row>
    <row r="26" customFormat="false" ht="15" hidden="false" customHeight="false" outlineLevel="0" collapsed="false">
      <c r="A26" s="6" t="s">
        <v>137</v>
      </c>
      <c r="B26" s="6" t="s">
        <v>363</v>
      </c>
    </row>
    <row r="27" customFormat="false" ht="15" hidden="false" customHeight="false" outlineLevel="0" collapsed="false">
      <c r="A27" s="6" t="s">
        <v>138</v>
      </c>
      <c r="B27" s="6" t="s">
        <v>363</v>
      </c>
    </row>
    <row r="28" customFormat="false" ht="15" hidden="false" customHeight="false" outlineLevel="0" collapsed="false">
      <c r="A28" s="6" t="s">
        <v>139</v>
      </c>
      <c r="B28" s="6" t="s">
        <v>364</v>
      </c>
    </row>
    <row r="29" customFormat="false" ht="15" hidden="false" customHeight="false" outlineLevel="0" collapsed="false">
      <c r="A29" s="6" t="s">
        <v>140</v>
      </c>
      <c r="B29" s="6" t="s">
        <v>364</v>
      </c>
    </row>
    <row r="30" customFormat="false" ht="15" hidden="false" customHeight="false" outlineLevel="0" collapsed="false">
      <c r="A30" s="6" t="s">
        <v>141</v>
      </c>
      <c r="B30" s="6" t="s">
        <v>361</v>
      </c>
    </row>
    <row r="31" customFormat="false" ht="15" hidden="false" customHeight="false" outlineLevel="0" collapsed="false">
      <c r="A31" s="6" t="s">
        <v>142</v>
      </c>
      <c r="B31" s="6" t="s">
        <v>365</v>
      </c>
    </row>
    <row r="32" customFormat="false" ht="15" hidden="false" customHeight="false" outlineLevel="0" collapsed="false">
      <c r="A32" s="6" t="s">
        <v>143</v>
      </c>
      <c r="B32" s="6" t="s">
        <v>366</v>
      </c>
    </row>
    <row r="33" customFormat="false" ht="15" hidden="false" customHeight="false" outlineLevel="0" collapsed="false">
      <c r="A33" s="6" t="s">
        <v>144</v>
      </c>
      <c r="B33" s="6" t="s">
        <v>367</v>
      </c>
    </row>
    <row r="34" customFormat="false" ht="15" hidden="false" customHeight="false" outlineLevel="0" collapsed="false">
      <c r="A34" s="6" t="s">
        <v>145</v>
      </c>
      <c r="B34" s="6" t="s">
        <v>367</v>
      </c>
    </row>
    <row r="35" customFormat="false" ht="15" hidden="false" customHeight="false" outlineLevel="0" collapsed="false">
      <c r="A35" s="6" t="s">
        <v>146</v>
      </c>
      <c r="B35" s="6" t="s">
        <v>368</v>
      </c>
    </row>
    <row r="36" customFormat="false" ht="15" hidden="false" customHeight="false" outlineLevel="0" collapsed="false">
      <c r="A36" s="6" t="s">
        <v>147</v>
      </c>
      <c r="B36" s="6" t="s">
        <v>361</v>
      </c>
    </row>
    <row r="37" customFormat="false" ht="15" hidden="false" customHeight="false" outlineLevel="0" collapsed="false">
      <c r="A37" s="6" t="s">
        <v>2</v>
      </c>
      <c r="B37" s="6" t="s">
        <v>362</v>
      </c>
    </row>
  </sheetData>
  <mergeCells count="2">
    <mergeCell ref="A1:B1"/>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4" min="3" style="0" width="16"/>
  </cols>
  <sheetData>
    <row r="1" customFormat="false" ht="15" hidden="false" customHeight="false" outlineLevel="0" collapsed="false">
      <c r="A1" s="1" t="s">
        <v>369</v>
      </c>
      <c r="B1" s="1"/>
      <c r="C1" s="1"/>
      <c r="D1" s="1"/>
    </row>
    <row r="3" customFormat="false" ht="23.85" hidden="false" customHeight="false" outlineLevel="0" collapsed="false">
      <c r="A3" s="2" t="s">
        <v>370</v>
      </c>
      <c r="B3" s="2" t="s">
        <v>27</v>
      </c>
      <c r="C3" s="2" t="s">
        <v>371</v>
      </c>
      <c r="D3" s="2" t="s">
        <v>372</v>
      </c>
    </row>
    <row r="4" customFormat="false" ht="15" hidden="false" customHeight="false" outlineLevel="0" collapsed="false">
      <c r="A4" s="6" t="s">
        <v>373</v>
      </c>
      <c r="B4" s="6" t="s">
        <v>374</v>
      </c>
      <c r="C4" s="6" t="s">
        <v>375</v>
      </c>
      <c r="D4" s="6" t="s">
        <v>376</v>
      </c>
    </row>
    <row r="5" customFormat="false" ht="15" hidden="false" customHeight="false" outlineLevel="0" collapsed="false">
      <c r="A5" s="6" t="s">
        <v>377</v>
      </c>
      <c r="B5" s="6" t="s">
        <v>374</v>
      </c>
      <c r="C5" s="6" t="s">
        <v>375</v>
      </c>
      <c r="D5" s="6" t="s">
        <v>378</v>
      </c>
    </row>
    <row r="6" customFormat="false" ht="15" hidden="false" customHeight="false" outlineLevel="0" collapsed="false">
      <c r="A6" s="6" t="s">
        <v>379</v>
      </c>
      <c r="B6" s="6" t="s">
        <v>374</v>
      </c>
      <c r="C6" s="6" t="s">
        <v>375</v>
      </c>
      <c r="D6" s="6" t="s">
        <v>380</v>
      </c>
    </row>
    <row r="7" customFormat="false" ht="15" hidden="false" customHeight="false" outlineLevel="0" collapsed="false">
      <c r="A7" s="6" t="s">
        <v>381</v>
      </c>
      <c r="B7" s="6" t="s">
        <v>374</v>
      </c>
      <c r="C7" s="6" t="s">
        <v>375</v>
      </c>
      <c r="D7" s="6" t="s">
        <v>382</v>
      </c>
    </row>
    <row r="8" customFormat="false" ht="15" hidden="false" customHeight="false" outlineLevel="0" collapsed="false">
      <c r="A8" s="6" t="s">
        <v>383</v>
      </c>
      <c r="B8" s="6" t="s">
        <v>374</v>
      </c>
      <c r="C8" s="6" t="s">
        <v>375</v>
      </c>
      <c r="D8" s="6" t="s">
        <v>384</v>
      </c>
    </row>
    <row r="9" customFormat="false" ht="15" hidden="false" customHeight="false" outlineLevel="0" collapsed="false">
      <c r="A9" s="6" t="s">
        <v>385</v>
      </c>
      <c r="B9" s="6" t="s">
        <v>374</v>
      </c>
      <c r="C9" s="6" t="s">
        <v>375</v>
      </c>
      <c r="D9" s="6" t="s">
        <v>386</v>
      </c>
    </row>
    <row r="10" customFormat="false" ht="15" hidden="false" customHeight="false" outlineLevel="0" collapsed="false">
      <c r="A10" s="6" t="s">
        <v>387</v>
      </c>
      <c r="B10" s="6" t="s">
        <v>388</v>
      </c>
      <c r="C10" s="6" t="s">
        <v>375</v>
      </c>
      <c r="D10" s="6" t="s">
        <v>389</v>
      </c>
    </row>
    <row r="11" customFormat="false" ht="15" hidden="false" customHeight="false" outlineLevel="0" collapsed="false">
      <c r="A11" s="6" t="s">
        <v>390</v>
      </c>
      <c r="B11" s="6" t="s">
        <v>388</v>
      </c>
      <c r="C11" s="6" t="s">
        <v>375</v>
      </c>
      <c r="D11" s="6" t="s">
        <v>391</v>
      </c>
    </row>
    <row r="12" customFormat="false" ht="15" hidden="false" customHeight="false" outlineLevel="0" collapsed="false">
      <c r="A12" s="6" t="s">
        <v>392</v>
      </c>
      <c r="B12" s="6" t="s">
        <v>388</v>
      </c>
      <c r="C12" s="6" t="s">
        <v>375</v>
      </c>
      <c r="D12" s="6" t="s">
        <v>393</v>
      </c>
    </row>
    <row r="13" customFormat="false" ht="15" hidden="false" customHeight="false" outlineLevel="0" collapsed="false">
      <c r="A13" s="6" t="s">
        <v>394</v>
      </c>
      <c r="B13" s="6" t="s">
        <v>388</v>
      </c>
      <c r="C13" s="6" t="s">
        <v>375</v>
      </c>
      <c r="D13" s="6" t="s">
        <v>395</v>
      </c>
    </row>
    <row r="14" customFormat="false" ht="15" hidden="false" customHeight="false" outlineLevel="0" collapsed="false">
      <c r="A14" s="6" t="s">
        <v>396</v>
      </c>
      <c r="B14" s="6" t="s">
        <v>388</v>
      </c>
      <c r="C14" s="6" t="s">
        <v>375</v>
      </c>
      <c r="D14" s="6" t="s">
        <v>397</v>
      </c>
    </row>
    <row r="15" customFormat="false" ht="15" hidden="false" customHeight="false" outlineLevel="0" collapsed="false">
      <c r="A15" s="6" t="s">
        <v>398</v>
      </c>
      <c r="B15" s="6" t="s">
        <v>388</v>
      </c>
      <c r="C15" s="6" t="s">
        <v>375</v>
      </c>
      <c r="D15" s="6" t="s">
        <v>399</v>
      </c>
    </row>
    <row r="16" customFormat="false" ht="15" hidden="false" customHeight="false" outlineLevel="0" collapsed="false">
      <c r="A16" s="6" t="s">
        <v>400</v>
      </c>
      <c r="B16" s="6" t="s">
        <v>401</v>
      </c>
      <c r="C16" s="6" t="s">
        <v>375</v>
      </c>
      <c r="D16" s="6" t="s">
        <v>393</v>
      </c>
    </row>
    <row r="17" customFormat="false" ht="15" hidden="false" customHeight="false" outlineLevel="0" collapsed="false">
      <c r="A17" s="6" t="s">
        <v>402</v>
      </c>
      <c r="B17" s="6" t="s">
        <v>401</v>
      </c>
      <c r="C17" s="6" t="s">
        <v>375</v>
      </c>
      <c r="D17" s="6" t="s">
        <v>403</v>
      </c>
    </row>
    <row r="18" customFormat="false" ht="15" hidden="false" customHeight="false" outlineLevel="0" collapsed="false">
      <c r="A18" s="6" t="s">
        <v>404</v>
      </c>
      <c r="B18" s="6" t="s">
        <v>401</v>
      </c>
      <c r="C18" s="6" t="s">
        <v>375</v>
      </c>
      <c r="D18" s="6" t="s">
        <v>384</v>
      </c>
    </row>
    <row r="19" customFormat="false" ht="15" hidden="false" customHeight="false" outlineLevel="0" collapsed="false">
      <c r="A19" s="6" t="s">
        <v>405</v>
      </c>
      <c r="B19" s="6" t="s">
        <v>401</v>
      </c>
      <c r="C19" s="6" t="s">
        <v>375</v>
      </c>
      <c r="D19" s="6" t="s">
        <v>393</v>
      </c>
    </row>
    <row r="20" customFormat="false" ht="15" hidden="false" customHeight="false" outlineLevel="0" collapsed="false">
      <c r="A20" s="6" t="s">
        <v>406</v>
      </c>
      <c r="B20" s="6" t="s">
        <v>401</v>
      </c>
      <c r="C20" s="6" t="s">
        <v>375</v>
      </c>
      <c r="D20" s="6" t="s">
        <v>376</v>
      </c>
    </row>
    <row r="21" customFormat="false" ht="15" hidden="false" customHeight="false" outlineLevel="0" collapsed="false">
      <c r="A21" s="6" t="s">
        <v>407</v>
      </c>
      <c r="B21" s="6" t="s">
        <v>401</v>
      </c>
      <c r="C21" s="6" t="s">
        <v>375</v>
      </c>
      <c r="D21" s="6" t="s">
        <v>408</v>
      </c>
    </row>
    <row r="22" customFormat="false" ht="15" hidden="false" customHeight="false" outlineLevel="0" collapsed="false">
      <c r="A22" s="6" t="s">
        <v>409</v>
      </c>
      <c r="B22" s="6" t="s">
        <v>410</v>
      </c>
      <c r="C22" s="6" t="s">
        <v>375</v>
      </c>
      <c r="D22" s="6" t="s">
        <v>376</v>
      </c>
    </row>
    <row r="23" customFormat="false" ht="15" hidden="false" customHeight="false" outlineLevel="0" collapsed="false">
      <c r="A23" s="6" t="s">
        <v>411</v>
      </c>
      <c r="B23" s="6" t="s">
        <v>410</v>
      </c>
      <c r="C23" s="6" t="s">
        <v>375</v>
      </c>
      <c r="D23" s="6" t="s">
        <v>412</v>
      </c>
    </row>
    <row r="24" customFormat="false" ht="15" hidden="false" customHeight="false" outlineLevel="0" collapsed="false">
      <c r="A24" s="6" t="s">
        <v>413</v>
      </c>
      <c r="B24" s="6" t="s">
        <v>410</v>
      </c>
      <c r="C24" s="6" t="s">
        <v>375</v>
      </c>
      <c r="D24" s="6" t="s">
        <v>414</v>
      </c>
    </row>
    <row r="25" customFormat="false" ht="15" hidden="false" customHeight="false" outlineLevel="0" collapsed="false">
      <c r="A25" s="6" t="s">
        <v>415</v>
      </c>
      <c r="B25" s="6" t="s">
        <v>410</v>
      </c>
      <c r="C25" s="6" t="s">
        <v>375</v>
      </c>
      <c r="D25" s="6" t="s">
        <v>395</v>
      </c>
    </row>
    <row r="26" customFormat="false" ht="15" hidden="false" customHeight="false" outlineLevel="0" collapsed="false">
      <c r="A26" s="6" t="s">
        <v>416</v>
      </c>
      <c r="B26" s="6" t="s">
        <v>410</v>
      </c>
      <c r="C26" s="6" t="s">
        <v>375</v>
      </c>
      <c r="D26" s="6" t="s">
        <v>393</v>
      </c>
    </row>
    <row r="27" customFormat="false" ht="15" hidden="false" customHeight="false" outlineLevel="0" collapsed="false">
      <c r="A27" s="6" t="s">
        <v>417</v>
      </c>
      <c r="B27" s="6" t="s">
        <v>410</v>
      </c>
      <c r="C27" s="6" t="s">
        <v>375</v>
      </c>
      <c r="D27" s="6" t="s">
        <v>397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2026-09-03T09:09:29Z</dcterms:created>
  <dc:creator>openpyxl</dc:creator>
  <dc:description/>
  <dc:language>en-US</dc:language>
  <cp:lastModifiedBy/>
  <dcterms:modified xsi:type="dcterms:W3CDTF">2026-09-03T09:09:30Z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